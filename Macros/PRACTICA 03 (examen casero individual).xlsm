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6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2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BAS\Desktop\"/>
    </mc:Choice>
  </mc:AlternateContent>
  <xr:revisionPtr revIDLastSave="0" documentId="13_ncr:1_{1CC1D9E5-EF90-42AB-BA27-F20CCE84C326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Práctica 03" sheetId="1" r:id="rId1"/>
    <sheet name="Origen de Datos" sheetId="4" r:id="rId2"/>
    <sheet name="Utilidades" sheetId="8" r:id="rId3"/>
    <sheet name="Tabla de Datos" sheetId="2" r:id="rId4"/>
    <sheet name="Informe de Ingresos y Utilidad" sheetId="5" r:id="rId5"/>
  </sheets>
  <definedNames>
    <definedName name="_xlnm._FilterDatabase" localSheetId="3" hidden="1">'Tabla de Datos'!$A$2:$B$602</definedName>
    <definedName name="DatosProductos">'Origen de Datos'!$I$15:$J$17</definedName>
    <definedName name="DatosRegion">'Origen de Datos'!$F$15:$G$17</definedName>
    <definedName name="DatosVendedores">'Origen de Datos'!$L$15:$M$20</definedName>
    <definedName name="DatosVentas">'Origen de Datos'!$O$15:$P$26</definedName>
    <definedName name="SegmentaciónDeDatos_Región">#N/A</definedName>
    <definedName name="SegmentaciónDeDatos_Región1">#N/A</definedName>
  </definedNames>
  <calcPr calcId="191029"/>
  <pivotCaches>
    <pivotCache cacheId="32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3" i="2"/>
  <c r="B3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8" i="2"/>
  <c r="B9" i="2"/>
  <c r="B10" i="2"/>
  <c r="B11" i="2"/>
  <c r="B12" i="2"/>
  <c r="B4" i="2"/>
  <c r="B5" i="2"/>
  <c r="B6" i="2"/>
  <c r="B7" i="2"/>
  <c r="G3" i="2" l="1"/>
  <c r="H3" i="2"/>
  <c r="G602" i="2"/>
  <c r="H602" i="2"/>
  <c r="G601" i="2"/>
  <c r="H601" i="2"/>
  <c r="G600" i="2"/>
  <c r="H600" i="2"/>
  <c r="G599" i="2"/>
  <c r="H599" i="2"/>
  <c r="G598" i="2"/>
  <c r="H598" i="2"/>
  <c r="G597" i="2"/>
  <c r="H597" i="2"/>
  <c r="G596" i="2"/>
  <c r="H596" i="2"/>
  <c r="G595" i="2"/>
  <c r="H595" i="2"/>
  <c r="G594" i="2"/>
  <c r="H594" i="2"/>
  <c r="G593" i="2"/>
  <c r="H593" i="2"/>
  <c r="G592" i="2"/>
  <c r="H592" i="2"/>
  <c r="G591" i="2"/>
  <c r="H591" i="2"/>
  <c r="G590" i="2"/>
  <c r="H590" i="2"/>
  <c r="G589" i="2"/>
  <c r="H589" i="2"/>
  <c r="G588" i="2"/>
  <c r="H588" i="2"/>
  <c r="G587" i="2"/>
  <c r="H587" i="2"/>
  <c r="G586" i="2"/>
  <c r="H586" i="2"/>
  <c r="G585" i="2"/>
  <c r="H585" i="2"/>
  <c r="G584" i="2"/>
  <c r="H584" i="2"/>
  <c r="G583" i="2"/>
  <c r="H583" i="2"/>
  <c r="G582" i="2"/>
  <c r="H582" i="2"/>
  <c r="G581" i="2"/>
  <c r="H581" i="2"/>
  <c r="G580" i="2"/>
  <c r="H580" i="2"/>
  <c r="G579" i="2"/>
  <c r="H579" i="2"/>
  <c r="G578" i="2"/>
  <c r="H578" i="2"/>
  <c r="G577" i="2"/>
  <c r="H577" i="2"/>
  <c r="G576" i="2"/>
  <c r="H576" i="2"/>
  <c r="G575" i="2"/>
  <c r="H575" i="2"/>
  <c r="G574" i="2"/>
  <c r="H574" i="2"/>
  <c r="G573" i="2"/>
  <c r="H573" i="2"/>
  <c r="G572" i="2"/>
  <c r="H572" i="2"/>
  <c r="G571" i="2"/>
  <c r="H571" i="2"/>
  <c r="G570" i="2"/>
  <c r="H570" i="2"/>
  <c r="G569" i="2"/>
  <c r="H569" i="2"/>
  <c r="G568" i="2"/>
  <c r="H568" i="2"/>
  <c r="G567" i="2"/>
  <c r="H567" i="2"/>
  <c r="G566" i="2"/>
  <c r="H566" i="2"/>
  <c r="G565" i="2"/>
  <c r="H565" i="2"/>
  <c r="G564" i="2"/>
  <c r="H564" i="2"/>
  <c r="G563" i="2"/>
  <c r="H563" i="2"/>
  <c r="G562" i="2"/>
  <c r="H562" i="2"/>
  <c r="G561" i="2"/>
  <c r="H561" i="2"/>
  <c r="G560" i="2"/>
  <c r="H560" i="2"/>
  <c r="G559" i="2"/>
  <c r="H559" i="2"/>
  <c r="G558" i="2"/>
  <c r="H558" i="2"/>
  <c r="G557" i="2"/>
  <c r="H557" i="2"/>
  <c r="G556" i="2"/>
  <c r="H556" i="2"/>
  <c r="G555" i="2"/>
  <c r="H555" i="2"/>
  <c r="G554" i="2"/>
  <c r="H554" i="2"/>
  <c r="G553" i="2"/>
  <c r="H553" i="2"/>
  <c r="G552" i="2"/>
  <c r="H552" i="2"/>
  <c r="G551" i="2"/>
  <c r="H551" i="2"/>
  <c r="G550" i="2"/>
  <c r="H550" i="2"/>
  <c r="G549" i="2"/>
  <c r="H549" i="2"/>
  <c r="G548" i="2"/>
  <c r="H548" i="2"/>
  <c r="G547" i="2"/>
  <c r="H547" i="2"/>
  <c r="G546" i="2"/>
  <c r="H546" i="2"/>
  <c r="G545" i="2"/>
  <c r="H545" i="2"/>
  <c r="G544" i="2"/>
  <c r="H544" i="2"/>
  <c r="G543" i="2"/>
  <c r="H543" i="2"/>
  <c r="G542" i="2"/>
  <c r="H542" i="2"/>
  <c r="G541" i="2"/>
  <c r="H541" i="2"/>
  <c r="G540" i="2"/>
  <c r="H540" i="2"/>
  <c r="G539" i="2"/>
  <c r="H539" i="2"/>
  <c r="G538" i="2"/>
  <c r="H538" i="2"/>
  <c r="G537" i="2"/>
  <c r="H537" i="2"/>
  <c r="G536" i="2"/>
  <c r="H536" i="2"/>
  <c r="G535" i="2"/>
  <c r="H535" i="2"/>
  <c r="G534" i="2"/>
  <c r="H534" i="2"/>
  <c r="G533" i="2"/>
  <c r="H533" i="2"/>
  <c r="G532" i="2"/>
  <c r="H532" i="2"/>
  <c r="G531" i="2"/>
  <c r="H531" i="2"/>
  <c r="G530" i="2"/>
  <c r="H530" i="2"/>
  <c r="G529" i="2"/>
  <c r="H529" i="2"/>
  <c r="G528" i="2"/>
  <c r="H528" i="2"/>
  <c r="G527" i="2"/>
  <c r="H527" i="2"/>
  <c r="G526" i="2"/>
  <c r="H526" i="2"/>
  <c r="G525" i="2"/>
  <c r="H525" i="2"/>
  <c r="G524" i="2"/>
  <c r="H524" i="2"/>
  <c r="G523" i="2"/>
  <c r="H523" i="2"/>
  <c r="G522" i="2"/>
  <c r="H522" i="2"/>
  <c r="G521" i="2"/>
  <c r="H521" i="2"/>
  <c r="G520" i="2"/>
  <c r="H520" i="2"/>
  <c r="G519" i="2"/>
  <c r="H519" i="2"/>
  <c r="G518" i="2"/>
  <c r="H518" i="2"/>
  <c r="G517" i="2"/>
  <c r="H517" i="2"/>
  <c r="G516" i="2"/>
  <c r="H516" i="2"/>
  <c r="G515" i="2"/>
  <c r="H515" i="2"/>
  <c r="G514" i="2"/>
  <c r="H514" i="2"/>
  <c r="G513" i="2"/>
  <c r="H513" i="2"/>
  <c r="G512" i="2"/>
  <c r="H512" i="2"/>
  <c r="G511" i="2"/>
  <c r="H511" i="2"/>
  <c r="G510" i="2"/>
  <c r="H510" i="2"/>
  <c r="G509" i="2"/>
  <c r="H509" i="2"/>
  <c r="G508" i="2"/>
  <c r="H508" i="2"/>
  <c r="G507" i="2"/>
  <c r="H507" i="2"/>
  <c r="G506" i="2"/>
  <c r="H506" i="2"/>
  <c r="G505" i="2"/>
  <c r="H505" i="2"/>
  <c r="G504" i="2"/>
  <c r="H504" i="2"/>
  <c r="G503" i="2"/>
  <c r="H503" i="2"/>
  <c r="G502" i="2"/>
  <c r="H502" i="2"/>
  <c r="G501" i="2"/>
  <c r="H501" i="2"/>
  <c r="G500" i="2"/>
  <c r="H500" i="2"/>
  <c r="G499" i="2"/>
  <c r="H499" i="2"/>
  <c r="G498" i="2"/>
  <c r="H498" i="2"/>
  <c r="G497" i="2"/>
  <c r="H497" i="2"/>
  <c r="G496" i="2"/>
  <c r="H496" i="2"/>
  <c r="G495" i="2"/>
  <c r="H495" i="2"/>
  <c r="G494" i="2"/>
  <c r="H494" i="2"/>
  <c r="G493" i="2"/>
  <c r="H493" i="2"/>
  <c r="G492" i="2"/>
  <c r="H492" i="2"/>
  <c r="G491" i="2"/>
  <c r="H491" i="2"/>
  <c r="G490" i="2"/>
  <c r="H490" i="2"/>
  <c r="G489" i="2"/>
  <c r="H489" i="2"/>
  <c r="G488" i="2"/>
  <c r="H488" i="2"/>
  <c r="G487" i="2"/>
  <c r="H487" i="2"/>
  <c r="G486" i="2"/>
  <c r="H486" i="2"/>
  <c r="G485" i="2"/>
  <c r="H485" i="2"/>
  <c r="G484" i="2"/>
  <c r="H484" i="2"/>
  <c r="G483" i="2"/>
  <c r="H483" i="2"/>
  <c r="G482" i="2"/>
  <c r="H482" i="2"/>
  <c r="G481" i="2"/>
  <c r="H481" i="2"/>
  <c r="G480" i="2"/>
  <c r="H480" i="2"/>
  <c r="G479" i="2"/>
  <c r="H479" i="2"/>
  <c r="G478" i="2"/>
  <c r="H478" i="2"/>
  <c r="G477" i="2"/>
  <c r="H477" i="2"/>
  <c r="G476" i="2"/>
  <c r="H476" i="2"/>
  <c r="G475" i="2"/>
  <c r="H475" i="2"/>
  <c r="G474" i="2"/>
  <c r="H474" i="2"/>
  <c r="G473" i="2"/>
  <c r="H473" i="2"/>
  <c r="G472" i="2"/>
  <c r="H472" i="2"/>
  <c r="G471" i="2"/>
  <c r="H471" i="2"/>
  <c r="G470" i="2"/>
  <c r="H470" i="2"/>
  <c r="G469" i="2"/>
  <c r="H469" i="2"/>
  <c r="G468" i="2"/>
  <c r="H468" i="2"/>
  <c r="G467" i="2"/>
  <c r="H467" i="2"/>
  <c r="G466" i="2"/>
  <c r="H466" i="2"/>
  <c r="G465" i="2"/>
  <c r="H465" i="2"/>
  <c r="G464" i="2"/>
  <c r="H464" i="2"/>
  <c r="G463" i="2"/>
  <c r="H463" i="2"/>
  <c r="G462" i="2"/>
  <c r="H462" i="2"/>
  <c r="G461" i="2"/>
  <c r="H461" i="2"/>
  <c r="G460" i="2"/>
  <c r="H460" i="2"/>
  <c r="G459" i="2"/>
  <c r="H459" i="2"/>
  <c r="G458" i="2"/>
  <c r="H458" i="2"/>
  <c r="G457" i="2"/>
  <c r="H457" i="2"/>
  <c r="G456" i="2"/>
  <c r="H456" i="2"/>
  <c r="G455" i="2"/>
  <c r="H455" i="2"/>
  <c r="G454" i="2"/>
  <c r="H454" i="2"/>
  <c r="G453" i="2"/>
  <c r="H453" i="2"/>
  <c r="G452" i="2"/>
  <c r="H452" i="2"/>
  <c r="G451" i="2"/>
  <c r="H451" i="2"/>
  <c r="G450" i="2"/>
  <c r="H450" i="2"/>
  <c r="G449" i="2"/>
  <c r="H449" i="2"/>
  <c r="G448" i="2"/>
  <c r="H448" i="2"/>
  <c r="G447" i="2"/>
  <c r="H447" i="2"/>
  <c r="G446" i="2"/>
  <c r="H446" i="2"/>
  <c r="G445" i="2"/>
  <c r="H445" i="2"/>
  <c r="G444" i="2"/>
  <c r="H444" i="2"/>
  <c r="G443" i="2"/>
  <c r="H443" i="2"/>
  <c r="G442" i="2"/>
  <c r="H442" i="2"/>
  <c r="G441" i="2"/>
  <c r="H441" i="2"/>
  <c r="G440" i="2"/>
  <c r="H440" i="2"/>
  <c r="G439" i="2"/>
  <c r="H439" i="2"/>
  <c r="G438" i="2"/>
  <c r="H438" i="2"/>
  <c r="G437" i="2"/>
  <c r="H437" i="2"/>
  <c r="G436" i="2"/>
  <c r="H436" i="2"/>
  <c r="G435" i="2"/>
  <c r="H435" i="2"/>
  <c r="G434" i="2"/>
  <c r="H434" i="2"/>
  <c r="G433" i="2"/>
  <c r="H433" i="2"/>
  <c r="G432" i="2"/>
  <c r="H432" i="2"/>
  <c r="G431" i="2"/>
  <c r="H431" i="2"/>
  <c r="G430" i="2"/>
  <c r="H430" i="2"/>
  <c r="G429" i="2"/>
  <c r="H429" i="2"/>
  <c r="G428" i="2"/>
  <c r="H428" i="2"/>
  <c r="G427" i="2"/>
  <c r="H427" i="2"/>
  <c r="G426" i="2"/>
  <c r="H426" i="2"/>
  <c r="G425" i="2"/>
  <c r="H425" i="2"/>
  <c r="G424" i="2"/>
  <c r="H424" i="2"/>
  <c r="G423" i="2"/>
  <c r="H423" i="2"/>
  <c r="G422" i="2"/>
  <c r="H422" i="2"/>
  <c r="G421" i="2"/>
  <c r="H421" i="2"/>
  <c r="G420" i="2"/>
  <c r="H420" i="2"/>
  <c r="G419" i="2"/>
  <c r="H419" i="2"/>
  <c r="G418" i="2"/>
  <c r="H418" i="2"/>
  <c r="G417" i="2"/>
  <c r="H417" i="2"/>
  <c r="G416" i="2"/>
  <c r="H416" i="2"/>
  <c r="G415" i="2"/>
  <c r="H415" i="2"/>
  <c r="G414" i="2"/>
  <c r="H414" i="2"/>
  <c r="G413" i="2"/>
  <c r="H413" i="2"/>
  <c r="G412" i="2"/>
  <c r="H412" i="2"/>
  <c r="G411" i="2"/>
  <c r="H411" i="2"/>
  <c r="G410" i="2"/>
  <c r="H410" i="2"/>
  <c r="G409" i="2"/>
  <c r="H409" i="2"/>
  <c r="G408" i="2"/>
  <c r="H408" i="2"/>
  <c r="G407" i="2"/>
  <c r="H407" i="2"/>
  <c r="G406" i="2"/>
  <c r="H406" i="2"/>
  <c r="G405" i="2"/>
  <c r="H405" i="2"/>
  <c r="G404" i="2"/>
  <c r="H404" i="2"/>
  <c r="G403" i="2"/>
  <c r="H403" i="2"/>
  <c r="G402" i="2"/>
  <c r="H402" i="2"/>
  <c r="G401" i="2"/>
  <c r="H401" i="2"/>
  <c r="G400" i="2"/>
  <c r="H400" i="2"/>
  <c r="G399" i="2"/>
  <c r="H399" i="2"/>
  <c r="G398" i="2"/>
  <c r="H398" i="2"/>
  <c r="G397" i="2"/>
  <c r="H397" i="2"/>
  <c r="G396" i="2"/>
  <c r="H396" i="2"/>
  <c r="G395" i="2"/>
  <c r="H395" i="2"/>
  <c r="G394" i="2"/>
  <c r="H394" i="2"/>
  <c r="G393" i="2"/>
  <c r="H393" i="2"/>
  <c r="G392" i="2"/>
  <c r="H392" i="2"/>
  <c r="G391" i="2"/>
  <c r="H391" i="2"/>
  <c r="G390" i="2"/>
  <c r="H390" i="2"/>
  <c r="G389" i="2"/>
  <c r="H389" i="2"/>
  <c r="G388" i="2"/>
  <c r="H388" i="2"/>
  <c r="G387" i="2"/>
  <c r="H387" i="2"/>
  <c r="G386" i="2"/>
  <c r="H386" i="2"/>
  <c r="G385" i="2"/>
  <c r="H385" i="2"/>
  <c r="G384" i="2"/>
  <c r="H384" i="2"/>
  <c r="G383" i="2"/>
  <c r="H383" i="2"/>
  <c r="G382" i="2"/>
  <c r="H382" i="2"/>
  <c r="G381" i="2"/>
  <c r="H381" i="2"/>
  <c r="G380" i="2"/>
  <c r="H380" i="2"/>
  <c r="G379" i="2"/>
  <c r="H379" i="2"/>
  <c r="G378" i="2"/>
  <c r="H378" i="2"/>
  <c r="G377" i="2"/>
  <c r="H377" i="2"/>
  <c r="G376" i="2"/>
  <c r="H376" i="2"/>
  <c r="G375" i="2"/>
  <c r="H375" i="2"/>
  <c r="G374" i="2"/>
  <c r="H374" i="2"/>
  <c r="G373" i="2"/>
  <c r="H373" i="2"/>
  <c r="G372" i="2"/>
  <c r="H372" i="2"/>
  <c r="G371" i="2"/>
  <c r="H371" i="2"/>
  <c r="G370" i="2"/>
  <c r="H370" i="2"/>
  <c r="G369" i="2"/>
  <c r="H369" i="2"/>
  <c r="G368" i="2"/>
  <c r="H368" i="2"/>
  <c r="G367" i="2"/>
  <c r="H367" i="2"/>
  <c r="G366" i="2"/>
  <c r="H366" i="2"/>
  <c r="G365" i="2"/>
  <c r="H365" i="2"/>
  <c r="G364" i="2"/>
  <c r="H364" i="2"/>
  <c r="G363" i="2"/>
  <c r="H363" i="2"/>
  <c r="G362" i="2"/>
  <c r="H362" i="2"/>
  <c r="G361" i="2"/>
  <c r="H361" i="2"/>
  <c r="G360" i="2"/>
  <c r="H360" i="2"/>
  <c r="G359" i="2"/>
  <c r="H359" i="2"/>
  <c r="G358" i="2"/>
  <c r="H358" i="2"/>
  <c r="G357" i="2"/>
  <c r="H357" i="2"/>
  <c r="G356" i="2"/>
  <c r="H356" i="2"/>
  <c r="G355" i="2"/>
  <c r="H355" i="2"/>
  <c r="G354" i="2"/>
  <c r="H354" i="2"/>
  <c r="G353" i="2"/>
  <c r="H353" i="2"/>
  <c r="G352" i="2"/>
  <c r="H352" i="2"/>
  <c r="G351" i="2"/>
  <c r="H351" i="2"/>
  <c r="G350" i="2"/>
  <c r="H350" i="2"/>
  <c r="G349" i="2"/>
  <c r="H349" i="2"/>
  <c r="G348" i="2"/>
  <c r="H348" i="2"/>
  <c r="G347" i="2"/>
  <c r="H347" i="2"/>
  <c r="G346" i="2"/>
  <c r="H346" i="2"/>
  <c r="G345" i="2"/>
  <c r="H345" i="2"/>
  <c r="G344" i="2"/>
  <c r="H344" i="2"/>
  <c r="G343" i="2"/>
  <c r="H343" i="2"/>
  <c r="G342" i="2"/>
  <c r="H342" i="2"/>
  <c r="G341" i="2"/>
  <c r="H341" i="2"/>
  <c r="G340" i="2"/>
  <c r="H340" i="2"/>
  <c r="G339" i="2"/>
  <c r="H339" i="2"/>
  <c r="G338" i="2"/>
  <c r="H338" i="2"/>
  <c r="G337" i="2"/>
  <c r="H337" i="2"/>
  <c r="G336" i="2"/>
  <c r="H336" i="2"/>
  <c r="G335" i="2"/>
  <c r="H335" i="2"/>
  <c r="G334" i="2"/>
  <c r="H334" i="2"/>
  <c r="G333" i="2"/>
  <c r="H333" i="2"/>
  <c r="G332" i="2"/>
  <c r="H332" i="2"/>
  <c r="G331" i="2"/>
  <c r="H331" i="2"/>
  <c r="G330" i="2"/>
  <c r="H330" i="2"/>
  <c r="G329" i="2"/>
  <c r="H329" i="2"/>
  <c r="G328" i="2"/>
  <c r="H328" i="2"/>
  <c r="G327" i="2"/>
  <c r="H327" i="2"/>
  <c r="G326" i="2"/>
  <c r="H326" i="2"/>
  <c r="G325" i="2"/>
  <c r="H325" i="2"/>
  <c r="G324" i="2"/>
  <c r="H324" i="2"/>
  <c r="G323" i="2"/>
  <c r="H323" i="2"/>
  <c r="G322" i="2"/>
  <c r="H322" i="2"/>
  <c r="G321" i="2"/>
  <c r="H321" i="2"/>
  <c r="G320" i="2"/>
  <c r="H320" i="2"/>
  <c r="G319" i="2"/>
  <c r="H319" i="2"/>
  <c r="G318" i="2"/>
  <c r="H318" i="2"/>
  <c r="G317" i="2"/>
  <c r="H317" i="2"/>
  <c r="G316" i="2"/>
  <c r="H316" i="2"/>
  <c r="G315" i="2"/>
  <c r="H315" i="2"/>
  <c r="G314" i="2"/>
  <c r="H314" i="2"/>
  <c r="G313" i="2"/>
  <c r="H313" i="2"/>
  <c r="G312" i="2"/>
  <c r="H312" i="2"/>
  <c r="G311" i="2"/>
  <c r="H311" i="2"/>
  <c r="G310" i="2"/>
  <c r="H310" i="2"/>
  <c r="G309" i="2"/>
  <c r="H309" i="2"/>
  <c r="G308" i="2"/>
  <c r="H308" i="2"/>
  <c r="G307" i="2"/>
  <c r="H307" i="2"/>
  <c r="G306" i="2"/>
  <c r="H306" i="2"/>
  <c r="G305" i="2"/>
  <c r="H305" i="2"/>
  <c r="G304" i="2"/>
  <c r="H304" i="2"/>
  <c r="G303" i="2"/>
  <c r="H303" i="2"/>
  <c r="G302" i="2"/>
  <c r="H302" i="2"/>
  <c r="G301" i="2"/>
  <c r="H301" i="2"/>
  <c r="G300" i="2"/>
  <c r="H300" i="2"/>
  <c r="G299" i="2"/>
  <c r="H299" i="2"/>
  <c r="G298" i="2"/>
  <c r="H298" i="2"/>
  <c r="G297" i="2"/>
  <c r="H297" i="2"/>
  <c r="G296" i="2"/>
  <c r="H296" i="2"/>
  <c r="G295" i="2"/>
  <c r="H295" i="2"/>
  <c r="G294" i="2"/>
  <c r="H294" i="2"/>
  <c r="G293" i="2"/>
  <c r="H293" i="2"/>
  <c r="G292" i="2"/>
  <c r="H292" i="2"/>
  <c r="G291" i="2"/>
  <c r="H291" i="2"/>
  <c r="G290" i="2"/>
  <c r="H290" i="2"/>
  <c r="G289" i="2"/>
  <c r="H289" i="2"/>
  <c r="G288" i="2"/>
  <c r="H288" i="2"/>
  <c r="G287" i="2"/>
  <c r="H287" i="2"/>
  <c r="G286" i="2"/>
  <c r="H286" i="2"/>
  <c r="G285" i="2"/>
  <c r="H285" i="2"/>
  <c r="G284" i="2"/>
  <c r="H284" i="2"/>
  <c r="G283" i="2"/>
  <c r="H283" i="2"/>
  <c r="G282" i="2"/>
  <c r="H282" i="2"/>
  <c r="G281" i="2"/>
  <c r="H281" i="2"/>
  <c r="G280" i="2"/>
  <c r="H280" i="2"/>
  <c r="G279" i="2"/>
  <c r="H279" i="2"/>
  <c r="G278" i="2"/>
  <c r="H278" i="2"/>
  <c r="G277" i="2"/>
  <c r="H277" i="2"/>
  <c r="G276" i="2"/>
  <c r="H276" i="2"/>
  <c r="G275" i="2"/>
  <c r="H275" i="2"/>
  <c r="G274" i="2"/>
  <c r="H274" i="2"/>
  <c r="G273" i="2"/>
  <c r="H273" i="2"/>
  <c r="G272" i="2"/>
  <c r="H272" i="2"/>
  <c r="G271" i="2"/>
  <c r="H271" i="2"/>
  <c r="G270" i="2"/>
  <c r="H270" i="2"/>
  <c r="G269" i="2"/>
  <c r="H269" i="2"/>
  <c r="G268" i="2"/>
  <c r="H268" i="2"/>
  <c r="G267" i="2"/>
  <c r="H267" i="2"/>
  <c r="G266" i="2"/>
  <c r="H266" i="2"/>
  <c r="G265" i="2"/>
  <c r="H265" i="2"/>
  <c r="G264" i="2"/>
  <c r="H264" i="2"/>
  <c r="G263" i="2"/>
  <c r="H263" i="2"/>
  <c r="G262" i="2"/>
  <c r="H262" i="2"/>
  <c r="G261" i="2"/>
  <c r="H261" i="2"/>
  <c r="G260" i="2"/>
  <c r="H260" i="2"/>
  <c r="G259" i="2"/>
  <c r="H259" i="2"/>
  <c r="G258" i="2"/>
  <c r="H258" i="2"/>
  <c r="G257" i="2"/>
  <c r="H257" i="2"/>
  <c r="G256" i="2"/>
  <c r="H256" i="2"/>
  <c r="G255" i="2"/>
  <c r="H255" i="2"/>
  <c r="G254" i="2"/>
  <c r="H254" i="2"/>
  <c r="G253" i="2"/>
  <c r="H253" i="2"/>
  <c r="G252" i="2"/>
  <c r="H252" i="2"/>
  <c r="G251" i="2"/>
  <c r="H251" i="2"/>
  <c r="G250" i="2"/>
  <c r="H250" i="2"/>
  <c r="G249" i="2"/>
  <c r="H249" i="2"/>
  <c r="G248" i="2"/>
  <c r="H248" i="2"/>
  <c r="G247" i="2"/>
  <c r="H247" i="2"/>
  <c r="G246" i="2"/>
  <c r="H246" i="2"/>
  <c r="G245" i="2"/>
  <c r="H245" i="2"/>
  <c r="G244" i="2"/>
  <c r="H244" i="2"/>
  <c r="G243" i="2"/>
  <c r="H243" i="2"/>
  <c r="G242" i="2"/>
  <c r="H242" i="2"/>
  <c r="G241" i="2"/>
  <c r="H241" i="2"/>
  <c r="G240" i="2"/>
  <c r="H240" i="2"/>
  <c r="G239" i="2"/>
  <c r="H239" i="2"/>
  <c r="G238" i="2"/>
  <c r="H238" i="2"/>
  <c r="G237" i="2"/>
  <c r="H237" i="2"/>
  <c r="G236" i="2"/>
  <c r="H236" i="2"/>
  <c r="G235" i="2"/>
  <c r="H235" i="2"/>
  <c r="G234" i="2"/>
  <c r="H234" i="2"/>
  <c r="G233" i="2"/>
  <c r="H233" i="2"/>
  <c r="G232" i="2"/>
  <c r="H232" i="2"/>
  <c r="G231" i="2"/>
  <c r="H231" i="2"/>
  <c r="G230" i="2"/>
  <c r="H230" i="2"/>
  <c r="G229" i="2"/>
  <c r="H229" i="2"/>
  <c r="G228" i="2"/>
  <c r="H228" i="2"/>
  <c r="G227" i="2"/>
  <c r="H227" i="2"/>
  <c r="G226" i="2"/>
  <c r="H226" i="2"/>
  <c r="G225" i="2"/>
  <c r="H225" i="2"/>
  <c r="G224" i="2"/>
  <c r="H224" i="2"/>
  <c r="G223" i="2"/>
  <c r="H223" i="2"/>
  <c r="G222" i="2"/>
  <c r="H222" i="2"/>
  <c r="G221" i="2"/>
  <c r="H221" i="2"/>
  <c r="G220" i="2"/>
  <c r="H220" i="2"/>
  <c r="G219" i="2"/>
  <c r="H219" i="2"/>
  <c r="G218" i="2"/>
  <c r="H218" i="2"/>
  <c r="G217" i="2"/>
  <c r="H217" i="2"/>
  <c r="G216" i="2"/>
  <c r="H216" i="2"/>
  <c r="G215" i="2"/>
  <c r="H215" i="2"/>
  <c r="G214" i="2"/>
  <c r="H214" i="2"/>
  <c r="G213" i="2"/>
  <c r="H213" i="2"/>
  <c r="G212" i="2"/>
  <c r="H212" i="2"/>
  <c r="G211" i="2"/>
  <c r="H211" i="2"/>
  <c r="G210" i="2"/>
  <c r="H210" i="2"/>
  <c r="G209" i="2"/>
  <c r="H209" i="2"/>
  <c r="G208" i="2"/>
  <c r="H208" i="2"/>
  <c r="G207" i="2"/>
  <c r="H207" i="2"/>
  <c r="G206" i="2"/>
  <c r="H206" i="2"/>
  <c r="G205" i="2"/>
  <c r="H205" i="2"/>
  <c r="G204" i="2"/>
  <c r="H204" i="2"/>
  <c r="G203" i="2"/>
  <c r="H203" i="2"/>
  <c r="G202" i="2"/>
  <c r="H202" i="2"/>
  <c r="G201" i="2"/>
  <c r="H201" i="2"/>
  <c r="G200" i="2"/>
  <c r="H200" i="2"/>
  <c r="G199" i="2"/>
  <c r="H199" i="2"/>
  <c r="G198" i="2"/>
  <c r="H198" i="2"/>
  <c r="G197" i="2"/>
  <c r="H197" i="2"/>
  <c r="G196" i="2"/>
  <c r="H196" i="2"/>
  <c r="G195" i="2"/>
  <c r="H195" i="2"/>
  <c r="G194" i="2"/>
  <c r="H194" i="2"/>
  <c r="G193" i="2"/>
  <c r="H193" i="2"/>
  <c r="G192" i="2"/>
  <c r="H192" i="2"/>
  <c r="G191" i="2"/>
  <c r="H191" i="2"/>
  <c r="G190" i="2"/>
  <c r="H190" i="2"/>
  <c r="G189" i="2"/>
  <c r="H189" i="2"/>
  <c r="G188" i="2"/>
  <c r="H188" i="2"/>
  <c r="G187" i="2"/>
  <c r="H187" i="2"/>
  <c r="G186" i="2"/>
  <c r="H186" i="2"/>
  <c r="G185" i="2"/>
  <c r="H185" i="2"/>
  <c r="G184" i="2"/>
  <c r="H184" i="2"/>
  <c r="G183" i="2"/>
  <c r="H183" i="2"/>
  <c r="G182" i="2"/>
  <c r="H182" i="2"/>
  <c r="G181" i="2"/>
  <c r="H181" i="2"/>
  <c r="G180" i="2"/>
  <c r="H180" i="2"/>
  <c r="G179" i="2"/>
  <c r="H179" i="2"/>
  <c r="G178" i="2"/>
  <c r="H178" i="2"/>
  <c r="G177" i="2"/>
  <c r="H177" i="2"/>
  <c r="G176" i="2"/>
  <c r="H176" i="2"/>
  <c r="G175" i="2"/>
  <c r="H175" i="2"/>
  <c r="G174" i="2"/>
  <c r="H174" i="2"/>
  <c r="G173" i="2"/>
  <c r="H173" i="2"/>
  <c r="G172" i="2"/>
  <c r="H172" i="2"/>
  <c r="G171" i="2"/>
  <c r="H171" i="2"/>
  <c r="G170" i="2"/>
  <c r="H170" i="2"/>
  <c r="G169" i="2"/>
  <c r="H169" i="2"/>
  <c r="G168" i="2"/>
  <c r="H168" i="2"/>
  <c r="G167" i="2"/>
  <c r="H167" i="2"/>
  <c r="G166" i="2"/>
  <c r="H166" i="2"/>
  <c r="G165" i="2"/>
  <c r="H165" i="2"/>
  <c r="G164" i="2"/>
  <c r="H164" i="2"/>
  <c r="G163" i="2"/>
  <c r="H163" i="2"/>
  <c r="G162" i="2"/>
  <c r="H162" i="2"/>
  <c r="G161" i="2"/>
  <c r="H161" i="2"/>
  <c r="G160" i="2"/>
  <c r="H160" i="2"/>
  <c r="G159" i="2"/>
  <c r="H159" i="2"/>
  <c r="G158" i="2"/>
  <c r="H158" i="2"/>
  <c r="G157" i="2"/>
  <c r="H157" i="2"/>
  <c r="G156" i="2"/>
  <c r="H156" i="2"/>
  <c r="G155" i="2"/>
  <c r="H155" i="2"/>
  <c r="G154" i="2"/>
  <c r="H154" i="2"/>
  <c r="G153" i="2"/>
  <c r="H153" i="2"/>
  <c r="G152" i="2"/>
  <c r="H152" i="2"/>
  <c r="G151" i="2"/>
  <c r="H151" i="2"/>
  <c r="G150" i="2"/>
  <c r="H150" i="2"/>
  <c r="G149" i="2"/>
  <c r="H149" i="2"/>
  <c r="G148" i="2"/>
  <c r="H148" i="2"/>
  <c r="G147" i="2"/>
  <c r="H147" i="2"/>
  <c r="G146" i="2"/>
  <c r="H146" i="2"/>
  <c r="G145" i="2"/>
  <c r="H145" i="2"/>
  <c r="G144" i="2"/>
  <c r="H144" i="2"/>
  <c r="G143" i="2"/>
  <c r="H143" i="2"/>
  <c r="G142" i="2"/>
  <c r="H142" i="2"/>
  <c r="G141" i="2"/>
  <c r="H141" i="2"/>
  <c r="G140" i="2"/>
  <c r="H140" i="2"/>
  <c r="G139" i="2"/>
  <c r="H139" i="2"/>
  <c r="G138" i="2"/>
  <c r="H138" i="2"/>
  <c r="G137" i="2"/>
  <c r="H137" i="2"/>
  <c r="G136" i="2"/>
  <c r="H136" i="2"/>
  <c r="G135" i="2"/>
  <c r="H135" i="2"/>
  <c r="G134" i="2"/>
  <c r="H134" i="2"/>
  <c r="G133" i="2"/>
  <c r="H133" i="2"/>
  <c r="G132" i="2"/>
  <c r="H132" i="2"/>
  <c r="G131" i="2"/>
  <c r="H131" i="2"/>
  <c r="G130" i="2"/>
  <c r="H130" i="2"/>
  <c r="G129" i="2"/>
  <c r="H129" i="2"/>
  <c r="G128" i="2"/>
  <c r="H128" i="2"/>
  <c r="G127" i="2"/>
  <c r="H127" i="2"/>
  <c r="G126" i="2"/>
  <c r="H126" i="2"/>
  <c r="G125" i="2"/>
  <c r="H125" i="2"/>
  <c r="G124" i="2"/>
  <c r="H124" i="2"/>
  <c r="G123" i="2"/>
  <c r="H123" i="2"/>
  <c r="G122" i="2"/>
  <c r="H122" i="2"/>
  <c r="G121" i="2"/>
  <c r="H121" i="2"/>
  <c r="G120" i="2"/>
  <c r="H120" i="2"/>
  <c r="G119" i="2"/>
  <c r="H119" i="2"/>
  <c r="G118" i="2"/>
  <c r="H118" i="2"/>
  <c r="G117" i="2"/>
  <c r="H117" i="2"/>
  <c r="G116" i="2"/>
  <c r="H116" i="2"/>
  <c r="G115" i="2"/>
  <c r="H115" i="2"/>
  <c r="G114" i="2"/>
  <c r="H114" i="2"/>
  <c r="G113" i="2"/>
  <c r="H113" i="2"/>
  <c r="G112" i="2"/>
  <c r="H112" i="2"/>
  <c r="G111" i="2"/>
  <c r="H111" i="2"/>
  <c r="G110" i="2"/>
  <c r="H110" i="2"/>
  <c r="G109" i="2"/>
  <c r="H109" i="2"/>
  <c r="G108" i="2"/>
  <c r="H108" i="2"/>
  <c r="G107" i="2"/>
  <c r="H107" i="2"/>
  <c r="G106" i="2"/>
  <c r="H106" i="2"/>
  <c r="G105" i="2"/>
  <c r="H105" i="2"/>
  <c r="G104" i="2"/>
  <c r="H104" i="2"/>
  <c r="G103" i="2"/>
  <c r="H103" i="2"/>
  <c r="G102" i="2"/>
  <c r="H102" i="2"/>
  <c r="G101" i="2"/>
  <c r="H101" i="2"/>
  <c r="G100" i="2"/>
  <c r="H100" i="2"/>
  <c r="G99" i="2"/>
  <c r="H99" i="2"/>
  <c r="G98" i="2"/>
  <c r="H98" i="2"/>
  <c r="G97" i="2"/>
  <c r="H97" i="2"/>
  <c r="G96" i="2"/>
  <c r="H96" i="2"/>
  <c r="G95" i="2"/>
  <c r="H95" i="2"/>
  <c r="G94" i="2"/>
  <c r="H94" i="2"/>
  <c r="G93" i="2"/>
  <c r="H93" i="2"/>
  <c r="G92" i="2"/>
  <c r="H92" i="2"/>
  <c r="G91" i="2"/>
  <c r="H91" i="2"/>
  <c r="G90" i="2"/>
  <c r="H90" i="2"/>
  <c r="G89" i="2"/>
  <c r="H89" i="2"/>
  <c r="G88" i="2"/>
  <c r="H88" i="2"/>
  <c r="G87" i="2"/>
  <c r="H87" i="2"/>
  <c r="G86" i="2"/>
  <c r="H86" i="2"/>
  <c r="G85" i="2"/>
  <c r="H85" i="2"/>
  <c r="G84" i="2"/>
  <c r="H84" i="2"/>
  <c r="G83" i="2"/>
  <c r="H83" i="2"/>
  <c r="G82" i="2"/>
  <c r="H82" i="2"/>
  <c r="G81" i="2"/>
  <c r="H81" i="2"/>
  <c r="G80" i="2"/>
  <c r="H80" i="2"/>
  <c r="G79" i="2"/>
  <c r="H79" i="2"/>
  <c r="G78" i="2"/>
  <c r="H78" i="2"/>
  <c r="G77" i="2"/>
  <c r="H77" i="2"/>
  <c r="G76" i="2"/>
  <c r="H76" i="2"/>
  <c r="G75" i="2"/>
  <c r="H75" i="2"/>
  <c r="G74" i="2"/>
  <c r="H74" i="2"/>
  <c r="G73" i="2"/>
  <c r="H73" i="2"/>
  <c r="G72" i="2"/>
  <c r="H72" i="2"/>
  <c r="G71" i="2"/>
  <c r="H71" i="2"/>
  <c r="G70" i="2"/>
  <c r="H70" i="2"/>
  <c r="G69" i="2"/>
  <c r="H69" i="2"/>
  <c r="G68" i="2"/>
  <c r="H68" i="2"/>
  <c r="G67" i="2"/>
  <c r="H67" i="2"/>
  <c r="G66" i="2"/>
  <c r="H66" i="2"/>
  <c r="G65" i="2"/>
  <c r="H65" i="2"/>
  <c r="G64" i="2"/>
  <c r="H64" i="2"/>
  <c r="G63" i="2"/>
  <c r="H63" i="2"/>
  <c r="G62" i="2"/>
  <c r="H62" i="2"/>
  <c r="G61" i="2"/>
  <c r="H61" i="2"/>
  <c r="G60" i="2"/>
  <c r="H60" i="2"/>
  <c r="G59" i="2"/>
  <c r="H59" i="2"/>
  <c r="G58" i="2"/>
  <c r="H58" i="2"/>
  <c r="G57" i="2"/>
  <c r="H57" i="2"/>
  <c r="G56" i="2"/>
  <c r="H56" i="2"/>
  <c r="G55" i="2"/>
  <c r="H55" i="2"/>
  <c r="G54" i="2"/>
  <c r="H54" i="2"/>
  <c r="G53" i="2"/>
  <c r="H53" i="2"/>
  <c r="G52" i="2"/>
  <c r="H52" i="2"/>
  <c r="G51" i="2"/>
  <c r="H51" i="2"/>
  <c r="G50" i="2"/>
  <c r="H50" i="2"/>
  <c r="G49" i="2"/>
  <c r="H49" i="2"/>
  <c r="G48" i="2"/>
  <c r="H48" i="2"/>
  <c r="G47" i="2"/>
  <c r="H47" i="2"/>
  <c r="G46" i="2"/>
  <c r="H46" i="2"/>
  <c r="G45" i="2"/>
  <c r="H45" i="2"/>
  <c r="G44" i="2"/>
  <c r="H44" i="2"/>
  <c r="G43" i="2"/>
  <c r="H43" i="2"/>
  <c r="G42" i="2"/>
  <c r="H42" i="2"/>
  <c r="G41" i="2"/>
  <c r="H41" i="2"/>
  <c r="G40" i="2"/>
  <c r="H40" i="2"/>
  <c r="G39" i="2"/>
  <c r="H39" i="2"/>
  <c r="G38" i="2"/>
  <c r="H38" i="2"/>
  <c r="G37" i="2"/>
  <c r="H37" i="2"/>
  <c r="G36" i="2"/>
  <c r="H36" i="2"/>
  <c r="G35" i="2"/>
  <c r="H35" i="2"/>
  <c r="G34" i="2"/>
  <c r="H34" i="2"/>
  <c r="G33" i="2"/>
  <c r="H33" i="2"/>
  <c r="G32" i="2"/>
  <c r="H32" i="2"/>
  <c r="G31" i="2"/>
  <c r="H31" i="2"/>
  <c r="G30" i="2"/>
  <c r="H30" i="2"/>
  <c r="G29" i="2"/>
  <c r="H29" i="2"/>
  <c r="G28" i="2"/>
  <c r="H28" i="2"/>
  <c r="G27" i="2"/>
  <c r="H27" i="2"/>
  <c r="G26" i="2"/>
  <c r="H26" i="2"/>
  <c r="G25" i="2"/>
  <c r="H25" i="2"/>
  <c r="G24" i="2"/>
  <c r="H24" i="2"/>
  <c r="G23" i="2"/>
  <c r="H23" i="2"/>
  <c r="G22" i="2"/>
  <c r="H22" i="2"/>
  <c r="G21" i="2"/>
  <c r="H21" i="2"/>
  <c r="G20" i="2"/>
  <c r="H20" i="2"/>
  <c r="G19" i="2"/>
  <c r="H19" i="2"/>
  <c r="G18" i="2"/>
  <c r="H18" i="2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</calcChain>
</file>

<file path=xl/sharedStrings.xml><?xml version="1.0" encoding="utf-8"?>
<sst xmlns="http://schemas.openxmlformats.org/spreadsheetml/2006/main" count="759" uniqueCount="70">
  <si>
    <t>Descripción</t>
  </si>
  <si>
    <t>Objetivo.</t>
  </si>
  <si>
    <t>* Se requiere que:</t>
  </si>
  <si>
    <t>* Sugerentemente agregar un gráfico combinado.</t>
  </si>
  <si>
    <t>* Terminar de elaborar la tabla de datos siguiendo cuidadosamente las indicaciones.</t>
  </si>
  <si>
    <t>Compañía</t>
  </si>
  <si>
    <t>ACEREX S.A.</t>
  </si>
  <si>
    <t>BANNER TOOLS</t>
  </si>
  <si>
    <t>ESTEREN V.B.</t>
  </si>
  <si>
    <t>FALCON ENT.</t>
  </si>
  <si>
    <t>GROMIT WARNER</t>
  </si>
  <si>
    <t>HILDEBRANDO</t>
  </si>
  <si>
    <t>JP BAUER S.A.</t>
  </si>
  <si>
    <t>KERSHAW BUILT</t>
  </si>
  <si>
    <t>LOPEZ HNOS.</t>
  </si>
  <si>
    <t>NORDICO CIA.</t>
  </si>
  <si>
    <t>PERCOM S.A.</t>
  </si>
  <si>
    <t>QUALCOMM</t>
  </si>
  <si>
    <t>RESTORE DABO</t>
  </si>
  <si>
    <t>TEEN &amp; ASOCS.</t>
  </si>
  <si>
    <t>VARSET CIA.</t>
  </si>
  <si>
    <t>WRESTLINGHOUSE</t>
  </si>
  <si>
    <t>ZAPPING  BI</t>
  </si>
  <si>
    <t>Producto</t>
  </si>
  <si>
    <t>* El reporte sea interactivo con botones para filtar y/o cambio de vista (campo Filtro).</t>
  </si>
  <si>
    <t>CROMIT 2N</t>
  </si>
  <si>
    <t>MICROHARD HD</t>
  </si>
  <si>
    <t>REGION</t>
  </si>
  <si>
    <t>Central</t>
  </si>
  <si>
    <t>Computadoras</t>
  </si>
  <si>
    <t xml:space="preserve">Sur </t>
  </si>
  <si>
    <t>Norte</t>
  </si>
  <si>
    <t>Simulación:</t>
  </si>
  <si>
    <t>Región</t>
  </si>
  <si>
    <t>Año</t>
  </si>
  <si>
    <t>Trimestre</t>
  </si>
  <si>
    <t>TRIMESTRE</t>
  </si>
  <si>
    <t>1er Trimestre</t>
  </si>
  <si>
    <t>2do Trimestre</t>
  </si>
  <si>
    <t>3er Trimestre</t>
  </si>
  <si>
    <t>4to Trimestre</t>
  </si>
  <si>
    <r>
      <rPr>
        <b/>
        <sz val="11"/>
        <color theme="1"/>
        <rFont val="Calibri"/>
        <family val="2"/>
        <scheme val="minor"/>
      </rPr>
      <t>2. CAMPO TRIMESTRE</t>
    </r>
    <r>
      <rPr>
        <sz val="11"/>
        <color theme="1"/>
        <rFont val="Calibri"/>
        <family val="2"/>
        <scheme val="minor"/>
      </rPr>
      <t>. Un número aleatorio de 1 a 4</t>
    </r>
  </si>
  <si>
    <t>PRODUCTO</t>
  </si>
  <si>
    <t>Laptops</t>
  </si>
  <si>
    <t>Impresoras</t>
  </si>
  <si>
    <t>Monitores</t>
  </si>
  <si>
    <t>Memorias USB</t>
  </si>
  <si>
    <t>Son 19 las compañías, y se trata de generar 600 registros de los ingresos en 2020 de dichas compañías por la venta de hasta 8 productos posibles, atendiendo las siguientes instrucciones para llenar la tabla de datos:</t>
  </si>
  <si>
    <t>SSD</t>
  </si>
  <si>
    <t>Escáners</t>
  </si>
  <si>
    <t>Tarjetas Wifi</t>
  </si>
  <si>
    <r>
      <t xml:space="preserve">A la Empresa </t>
    </r>
    <r>
      <rPr>
        <b/>
        <i/>
        <sz val="11"/>
        <color rgb="FF0000FF"/>
        <rFont val="Calibri"/>
        <family val="2"/>
        <scheme val="minor"/>
      </rPr>
      <t>SOC, Líderes en Asesoría Financiera</t>
    </r>
    <r>
      <rPr>
        <sz val="11"/>
        <color theme="1"/>
        <rFont val="Calibri"/>
        <family val="2"/>
        <scheme val="minor"/>
      </rPr>
      <t xml:space="preserve">, se les encomienda desarrollar un </t>
    </r>
    <r>
      <rPr>
        <b/>
        <sz val="11"/>
        <color theme="1"/>
        <rFont val="Calibri"/>
        <family val="2"/>
        <scheme val="minor"/>
      </rPr>
      <t>Reporte de INGRESOS y UTILIDADES</t>
    </r>
    <r>
      <rPr>
        <sz val="11"/>
        <color theme="1"/>
        <rFont val="Calibri"/>
        <family val="2"/>
        <scheme val="minor"/>
      </rPr>
      <t>, lo suficientemente interactivo y que muestre de mejor modo la información para la mejor toma de decisiones de las 19 empresas líderes en el campo de ventas de equipo informático.</t>
    </r>
  </si>
  <si>
    <t>Ingresos</t>
  </si>
  <si>
    <t>Costos</t>
  </si>
  <si>
    <t>RANGO INGRESOS</t>
  </si>
  <si>
    <t>COSTOS</t>
  </si>
  <si>
    <r>
      <rPr>
        <b/>
        <sz val="11"/>
        <color theme="1"/>
        <rFont val="Calibri"/>
        <family val="2"/>
        <scheme val="minor"/>
      </rPr>
      <t>4. CAMPO INGRESOS</t>
    </r>
    <r>
      <rPr>
        <sz val="11"/>
        <color theme="1"/>
        <rFont val="Calibri"/>
        <family val="2"/>
        <scheme val="minor"/>
      </rPr>
      <t>. Un número aleatorio de 1 a 12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</si>
  <si>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CAMPO PRODUCTO</t>
    </r>
    <r>
      <rPr>
        <sz val="11"/>
        <color theme="1"/>
        <rFont val="Calibri"/>
        <family val="2"/>
        <scheme val="minor"/>
      </rPr>
      <t>. Un número aleatorio entre 1 y 8</t>
    </r>
  </si>
  <si>
    <r>
      <rPr>
        <b/>
        <sz val="11"/>
        <color theme="1"/>
        <rFont val="Calibri"/>
        <family val="2"/>
        <scheme val="minor"/>
      </rPr>
      <t>5.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CAMPO COSTOS</t>
    </r>
    <r>
      <rPr>
        <sz val="11"/>
        <color theme="1"/>
        <rFont val="Calibri"/>
        <family val="2"/>
        <scheme val="minor"/>
      </rPr>
      <t>. El número generado aquí, tendra que ser  como mínimo 10% de los ingresos, y como máximo 80%. Aleatorio entre 1 y 10 para calcular este porcentaje</t>
    </r>
  </si>
  <si>
    <r>
      <rPr>
        <b/>
        <sz val="11"/>
        <color theme="1"/>
        <rFont val="Calibri"/>
        <family val="2"/>
        <scheme val="minor"/>
      </rPr>
      <t>6.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La Utilidad</t>
    </r>
    <r>
      <rPr>
        <sz val="11"/>
        <color theme="1"/>
        <rFont val="Calibri"/>
        <family val="2"/>
        <scheme val="minor"/>
      </rPr>
      <t xml:space="preserve"> será calculada en la Tabla Dinámica como un campo calculado.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</si>
  <si>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CAMPO REGION</t>
    </r>
    <r>
      <rPr>
        <sz val="11"/>
        <color theme="1"/>
        <rFont val="Calibri"/>
        <family val="2"/>
        <scheme val="minor"/>
      </rPr>
      <t>. Todas las compañías tienen sucursales en las 3 regiones del país. Número aleatorio de 1 a 3</t>
    </r>
  </si>
  <si>
    <t>Columna1</t>
  </si>
  <si>
    <t>Columna2</t>
  </si>
  <si>
    <t>Etiquetas de fila</t>
  </si>
  <si>
    <t>Suma de Ingresos</t>
  </si>
  <si>
    <t>Total general</t>
  </si>
  <si>
    <t>Etiquetas de columna</t>
  </si>
  <si>
    <t>Suma de Margen</t>
  </si>
  <si>
    <t>utilidad</t>
  </si>
  <si>
    <t>Suma de utilidad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</si>
</sst>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$&quot;* #,##0.00_-;\-&quot;$&quot;* #,##0.00_-;_-&quot;$&quot;* &quot;-&quot;??_-;_-@_-"/>
    <numFmt numFmtId="165" formatCode="0.0%"/>
    <numFmt numFmtId="166" formatCode="_-[$$-476]* #,##0.00_ ;_-[$$-476]* \-#,##0.00\ ;_-[$$-476]* &quot;-&quot;??_ ;_-@_ "/>
    <numFmt numFmtId="167" formatCode="_-[$$-80A]* #,##0.00_-;\-[$$-80A]* #,##0.00_-;_-[$$-80A]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b/>
      <i/>
      <sz val="11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>
      <alignment vertical="top"/>
    </xf>
  </cellStyleXfs>
  <cellXfs count="26">
    <xf numFmtId="0" fontId="0" fillId="0" borderId="0" xfId="0"/>
    <xf numFmtId="0" fontId="3" fillId="0" borderId="0" xfId="0" applyFont="1"/>
    <xf numFmtId="0" fontId="2" fillId="0" borderId="0" xfId="0" applyFont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2" xfId="0" applyFont="1" applyBorder="1"/>
    <xf numFmtId="0" fontId="0" fillId="0" borderId="3" xfId="0" applyFont="1" applyBorder="1"/>
    <xf numFmtId="164" fontId="0" fillId="0" borderId="3" xfId="1" applyFont="1" applyBorder="1"/>
    <xf numFmtId="164" fontId="0" fillId="0" borderId="5" xfId="1" applyFont="1" applyBorder="1"/>
    <xf numFmtId="164" fontId="0" fillId="0" borderId="7" xfId="1" applyFont="1" applyBorder="1"/>
    <xf numFmtId="166" fontId="0" fillId="0" borderId="0" xfId="0" applyNumberFormat="1"/>
    <xf numFmtId="165" fontId="0" fillId="0" borderId="3" xfId="2" applyNumberFormat="1" applyFont="1" applyBorder="1"/>
    <xf numFmtId="165" fontId="0" fillId="0" borderId="5" xfId="2" applyNumberFormat="1" applyFont="1" applyBorder="1"/>
    <xf numFmtId="165" fontId="0" fillId="0" borderId="7" xfId="2" applyNumberFormat="1" applyFont="1" applyBorder="1"/>
    <xf numFmtId="10" fontId="0" fillId="0" borderId="0" xfId="0" applyNumberFormat="1"/>
    <xf numFmtId="0" fontId="0" fillId="0" borderId="0" xfId="0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 indent="1"/>
    </xf>
  </cellXfs>
  <cellStyles count="4">
    <cellStyle name="Moneda" xfId="1" builtinId="4"/>
    <cellStyle name="Normal" xfId="0" builtinId="0"/>
    <cellStyle name="Normal 2" xfId="3" xr:uid="{00000000-0005-0000-0000-000002000000}"/>
    <cellStyle name="Porcentaje" xfId="2" builtinId="5"/>
  </cellStyles>
  <dxfs count="138"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4" formatCode="0.00%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167" formatCode="_-[$$-80A]* #,##0.00_-;\-[$$-80A]* #,##0.00_-;_-[$$-80A]* &quot;-&quot;??_-;_-@_-"/>
    </dxf>
    <dxf>
      <numFmt numFmtId="34" formatCode="_-* #,##0.00\ &quot;€&quot;_-;\-* #,##0.00\ &quot;€&quot;_-;_-* &quot;-&quot;??\ &quot;€&quot;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66" formatCode="_-[$$-476]* #,##0.00_ ;_-[$$-476]* \-#,##0.00\ ;_-[$$-476]* &quot;-&quot;??_ ;_-@_ "/>
    </dxf>
    <dxf>
      <numFmt numFmtId="166" formatCode="_-[$$-476]* #,##0.00_ ;_-[$$-476]* \-#,##0.00\ ;_-[$$-476]* &quot;-&quot;??_ ;_-@_ "/>
    </dxf>
    <dxf>
      <numFmt numFmtId="166" formatCode="_-[$$-476]* #,##0.00_ ;_-[$$-476]* \-#,##0.00\ ;_-[$$-476]* &quot;-&quot;??_ ;_-@_ 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[PRACTICA 03 (examen casero individual).xlsm]Utilidades!TablaDinámica7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Utilidades!$B$1</c:f>
              <c:strCache>
                <c:ptCount val="1"/>
                <c:pt idx="0">
                  <c:v>Suma de 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Utilidades!$A$2:$A$7</c:f>
              <c:strCache>
                <c:ptCount val="5"/>
                <c:pt idx="0">
                  <c:v>Memorias USB</c:v>
                </c:pt>
                <c:pt idx="1">
                  <c:v>SSD</c:v>
                </c:pt>
                <c:pt idx="2">
                  <c:v>Laptops</c:v>
                </c:pt>
                <c:pt idx="3">
                  <c:v>Impresoras</c:v>
                </c:pt>
                <c:pt idx="4">
                  <c:v>Tarjetas Wifi</c:v>
                </c:pt>
              </c:strCache>
            </c:strRef>
          </c:cat>
          <c:val>
            <c:numRef>
              <c:f>Utilidades!$B$2:$B$7</c:f>
              <c:numCache>
                <c:formatCode>General</c:formatCode>
                <c:ptCount val="5"/>
                <c:pt idx="0">
                  <c:v>10919375</c:v>
                </c:pt>
                <c:pt idx="1">
                  <c:v>9359520</c:v>
                </c:pt>
                <c:pt idx="2">
                  <c:v>7424065</c:v>
                </c:pt>
                <c:pt idx="3">
                  <c:v>7395825</c:v>
                </c:pt>
                <c:pt idx="4">
                  <c:v>6975675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6-4C7C-A300-9898F1BFEF31}"/>
            </c:ext>
          </c:extLst>
        </c:ser>
        <c:ser>
          <c:idx val="1"/>
          <c:order val="1"/>
          <c:tx>
            <c:strRef>
              <c:f>Utilidades!$C$1</c:f>
              <c:strCache>
                <c:ptCount val="1"/>
                <c:pt idx="0">
                  <c:v>Suma de utilidad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Utilidades!$A$2:$A$7</c:f>
              <c:strCache>
                <c:ptCount val="5"/>
                <c:pt idx="0">
                  <c:v>Memorias USB</c:v>
                </c:pt>
                <c:pt idx="1">
                  <c:v>SSD</c:v>
                </c:pt>
                <c:pt idx="2">
                  <c:v>Laptops</c:v>
                </c:pt>
                <c:pt idx="3">
                  <c:v>Impresoras</c:v>
                </c:pt>
                <c:pt idx="4">
                  <c:v>Tarjetas Wifi</c:v>
                </c:pt>
              </c:strCache>
            </c:strRef>
          </c:cat>
          <c:val>
            <c:numRef>
              <c:f>Utilidades!$C$2:$C$7</c:f>
              <c:numCache>
                <c:formatCode>General</c:formatCode>
                <c:ptCount val="5"/>
                <c:pt idx="0">
                  <c:v>7009740.5</c:v>
                </c:pt>
                <c:pt idx="1">
                  <c:v>5345123.75</c:v>
                </c:pt>
                <c:pt idx="2">
                  <c:v>4643274.75</c:v>
                </c:pt>
                <c:pt idx="3">
                  <c:v>4381470</c:v>
                </c:pt>
                <c:pt idx="4">
                  <c:v>4250362.5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6-4C7C-A300-9898F1BFE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9455880"/>
        <c:axId val="439452600"/>
      </c:barChart>
      <c:lineChart>
        <c:grouping val="standard"/>
        <c:varyColors val="0"/>
        <c:ser>
          <c:idx val="2"/>
          <c:order val="2"/>
          <c:tx>
            <c:strRef>
              <c:f>Utilidades!$D$1</c:f>
              <c:strCache>
                <c:ptCount val="1"/>
                <c:pt idx="0">
                  <c:v>Suma de Margen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Utilidades!$A$2:$A$7</c:f>
              <c:strCache>
                <c:ptCount val="5"/>
                <c:pt idx="0">
                  <c:v>Memorias USB</c:v>
                </c:pt>
                <c:pt idx="1">
                  <c:v>SSD</c:v>
                </c:pt>
                <c:pt idx="2">
                  <c:v>Laptops</c:v>
                </c:pt>
                <c:pt idx="3">
                  <c:v>Impresoras</c:v>
                </c:pt>
                <c:pt idx="4">
                  <c:v>Tarjetas Wifi</c:v>
                </c:pt>
              </c:strCache>
            </c:strRef>
          </c:cat>
          <c:val>
            <c:numRef>
              <c:f>Utilidades!$D$2:$D$7</c:f>
              <c:numCache>
                <c:formatCode>0.00%</c:formatCode>
                <c:ptCount val="5"/>
                <c:pt idx="0">
                  <c:v>0.64195437009902123</c:v>
                </c:pt>
                <c:pt idx="1">
                  <c:v>0.57108951634271843</c:v>
                </c:pt>
                <c:pt idx="2">
                  <c:v>0.62543562724733692</c:v>
                </c:pt>
                <c:pt idx="3">
                  <c:v>0.59242478019693545</c:v>
                </c:pt>
                <c:pt idx="4">
                  <c:v>0.60931200206431635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6-4C7C-A300-9898F1BFE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7192"/>
        <c:axId val="439451944"/>
      </c:lineChart>
      <c:catAx>
        <c:axId val="43945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9452600"/>
        <c:crosses val="autoZero"/>
        <c:auto val="1"/>
        <c:lblAlgn val="ctr"/>
        <c:lblOffset val="100"/>
        <c:noMultiLvlLbl val="0"/>
      </c:catAx>
      <c:valAx>
        <c:axId val="43945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9455880"/>
        <c:crosses val="autoZero"/>
        <c:crossBetween val="between"/>
      </c:valAx>
      <c:valAx>
        <c:axId val="43945194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9457192"/>
        <c:crosses val="max"/>
        <c:crossBetween val="between"/>
      </c:valAx>
      <c:catAx>
        <c:axId val="439457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94519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[PRACTICA 03 (examen casero individual).xlsm]Utilidades!TablaDinámica8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Utilidades!$G$1</c:f>
              <c:strCache>
                <c:ptCount val="1"/>
                <c:pt idx="0">
                  <c:v>Suma de 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Utilidades!$F$2:$F$12</c:f>
              <c:strCache>
                <c:ptCount val="10"/>
                <c:pt idx="0">
                  <c:v>ESTEREN V.B.</c:v>
                </c:pt>
                <c:pt idx="1">
                  <c:v>KERSHAW BUILT</c:v>
                </c:pt>
                <c:pt idx="2">
                  <c:v>NORDICO CIA.</c:v>
                </c:pt>
                <c:pt idx="3">
                  <c:v>ZAPPING  BI</c:v>
                </c:pt>
                <c:pt idx="4">
                  <c:v>VARSET CIA.</c:v>
                </c:pt>
                <c:pt idx="5">
                  <c:v>JP BAUER S.A.</c:v>
                </c:pt>
                <c:pt idx="6">
                  <c:v>LOPEZ HNOS.</c:v>
                </c:pt>
                <c:pt idx="7">
                  <c:v>WRESTLINGHOUSE</c:v>
                </c:pt>
                <c:pt idx="8">
                  <c:v>FALCON ENT.</c:v>
                </c:pt>
                <c:pt idx="9">
                  <c:v>CROMIT 2N</c:v>
                </c:pt>
              </c:strCache>
            </c:strRef>
          </c:cat>
          <c:val>
            <c:numRef>
              <c:f>Utilidades!$G$2:$G$12</c:f>
              <c:numCache>
                <c:formatCode>General</c:formatCode>
                <c:ptCount val="10"/>
                <c:pt idx="0">
                  <c:v>6718910</c:v>
                </c:pt>
                <c:pt idx="1">
                  <c:v>5594835</c:v>
                </c:pt>
                <c:pt idx="2">
                  <c:v>4551235</c:v>
                </c:pt>
                <c:pt idx="3">
                  <c:v>4224205</c:v>
                </c:pt>
                <c:pt idx="4">
                  <c:v>3937375</c:v>
                </c:pt>
                <c:pt idx="5">
                  <c:v>3700340</c:v>
                </c:pt>
                <c:pt idx="6">
                  <c:v>3688590</c:v>
                </c:pt>
                <c:pt idx="7">
                  <c:v>3631575</c:v>
                </c:pt>
                <c:pt idx="8">
                  <c:v>3275855</c:v>
                </c:pt>
                <c:pt idx="9">
                  <c:v>3126875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7-400E-BF13-4CA06B23D037}"/>
            </c:ext>
          </c:extLst>
        </c:ser>
        <c:ser>
          <c:idx val="1"/>
          <c:order val="1"/>
          <c:tx>
            <c:strRef>
              <c:f>Utilidades!$H$1</c:f>
              <c:strCache>
                <c:ptCount val="1"/>
                <c:pt idx="0">
                  <c:v>Suma de utilidad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Utilidades!$F$2:$F$12</c:f>
              <c:strCache>
                <c:ptCount val="10"/>
                <c:pt idx="0">
                  <c:v>ESTEREN V.B.</c:v>
                </c:pt>
                <c:pt idx="1">
                  <c:v>KERSHAW BUILT</c:v>
                </c:pt>
                <c:pt idx="2">
                  <c:v>NORDICO CIA.</c:v>
                </c:pt>
                <c:pt idx="3">
                  <c:v>ZAPPING  BI</c:v>
                </c:pt>
                <c:pt idx="4">
                  <c:v>VARSET CIA.</c:v>
                </c:pt>
                <c:pt idx="5">
                  <c:v>JP BAUER S.A.</c:v>
                </c:pt>
                <c:pt idx="6">
                  <c:v>LOPEZ HNOS.</c:v>
                </c:pt>
                <c:pt idx="7">
                  <c:v>WRESTLINGHOUSE</c:v>
                </c:pt>
                <c:pt idx="8">
                  <c:v>FALCON ENT.</c:v>
                </c:pt>
                <c:pt idx="9">
                  <c:v>CROMIT 2N</c:v>
                </c:pt>
              </c:strCache>
            </c:strRef>
          </c:cat>
          <c:val>
            <c:numRef>
              <c:f>Utilidades!$H$2:$H$12</c:f>
              <c:numCache>
                <c:formatCode>General</c:formatCode>
                <c:ptCount val="10"/>
                <c:pt idx="0">
                  <c:v>4334768.25</c:v>
                </c:pt>
                <c:pt idx="1">
                  <c:v>3727798</c:v>
                </c:pt>
                <c:pt idx="2">
                  <c:v>2608818.25</c:v>
                </c:pt>
                <c:pt idx="3">
                  <c:v>2280940</c:v>
                </c:pt>
                <c:pt idx="4">
                  <c:v>2668588.75</c:v>
                </c:pt>
                <c:pt idx="5">
                  <c:v>2409359.75</c:v>
                </c:pt>
                <c:pt idx="6">
                  <c:v>2323882</c:v>
                </c:pt>
                <c:pt idx="7">
                  <c:v>1777357</c:v>
                </c:pt>
                <c:pt idx="8">
                  <c:v>2013599.5</c:v>
                </c:pt>
                <c:pt idx="9">
                  <c:v>1823443.5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7-400E-BF13-4CA06B23D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637416"/>
        <c:axId val="522639056"/>
      </c:barChart>
      <c:lineChart>
        <c:grouping val="standard"/>
        <c:varyColors val="0"/>
        <c:ser>
          <c:idx val="2"/>
          <c:order val="2"/>
          <c:tx>
            <c:strRef>
              <c:f>Utilidades!$I$1</c:f>
              <c:strCache>
                <c:ptCount val="1"/>
                <c:pt idx="0">
                  <c:v>Suma de Margen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Utilidades!$F$2:$F$12</c:f>
              <c:strCache>
                <c:ptCount val="10"/>
                <c:pt idx="0">
                  <c:v>ESTEREN V.B.</c:v>
                </c:pt>
                <c:pt idx="1">
                  <c:v>KERSHAW BUILT</c:v>
                </c:pt>
                <c:pt idx="2">
                  <c:v>NORDICO CIA.</c:v>
                </c:pt>
                <c:pt idx="3">
                  <c:v>ZAPPING  BI</c:v>
                </c:pt>
                <c:pt idx="4">
                  <c:v>VARSET CIA.</c:v>
                </c:pt>
                <c:pt idx="5">
                  <c:v>JP BAUER S.A.</c:v>
                </c:pt>
                <c:pt idx="6">
                  <c:v>LOPEZ HNOS.</c:v>
                </c:pt>
                <c:pt idx="7">
                  <c:v>WRESTLINGHOUSE</c:v>
                </c:pt>
                <c:pt idx="8">
                  <c:v>FALCON ENT.</c:v>
                </c:pt>
                <c:pt idx="9">
                  <c:v>CROMIT 2N</c:v>
                </c:pt>
              </c:strCache>
            </c:strRef>
          </c:cat>
          <c:val>
            <c:numRef>
              <c:f>Utilidades!$I$2:$I$12</c:f>
              <c:numCache>
                <c:formatCode>0.00%</c:formatCode>
                <c:ptCount val="10"/>
                <c:pt idx="0">
                  <c:v>0.64515944550529769</c:v>
                </c:pt>
                <c:pt idx="1">
                  <c:v>0.66629275036707969</c:v>
                </c:pt>
                <c:pt idx="2">
                  <c:v>0.57321106249182918</c:v>
                </c:pt>
                <c:pt idx="3">
                  <c:v>0.5399690592667733</c:v>
                </c:pt>
                <c:pt idx="4">
                  <c:v>0.67775834153465186</c:v>
                </c:pt>
                <c:pt idx="5">
                  <c:v>0.65111847830199387</c:v>
                </c:pt>
                <c:pt idx="6">
                  <c:v>0.63001905877313558</c:v>
                </c:pt>
                <c:pt idx="7">
                  <c:v>0.48941767690327198</c:v>
                </c:pt>
                <c:pt idx="8">
                  <c:v>0.61467906851798992</c:v>
                </c:pt>
                <c:pt idx="9">
                  <c:v>0.58315202878273031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E7-400E-BF13-4CA06B23D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33480"/>
        <c:axId val="522633152"/>
      </c:lineChart>
      <c:catAx>
        <c:axId val="522637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2639056"/>
        <c:crosses val="autoZero"/>
        <c:auto val="1"/>
        <c:lblAlgn val="ctr"/>
        <c:lblOffset val="100"/>
        <c:noMultiLvlLbl val="0"/>
      </c:catAx>
      <c:valAx>
        <c:axId val="52263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2637416"/>
        <c:crosses val="autoZero"/>
        <c:crossBetween val="between"/>
      </c:valAx>
      <c:valAx>
        <c:axId val="52263315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2633480"/>
        <c:crosses val="max"/>
        <c:crossBetween val="between"/>
      </c:valAx>
      <c:catAx>
        <c:axId val="522633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263315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[PRACTICA 03 (examen casero individual).xlsm]Utilidades!TablaDinámica9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Utilidades!$L$1:$L$2</c:f>
              <c:strCache>
                <c:ptCount val="1"/>
                <c:pt idx="0">
                  <c:v>1er Trimestre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Utilidades!$K$3:$K$13</c:f>
              <c:strCache>
                <c:ptCount val="10"/>
                <c:pt idx="0">
                  <c:v>ESTEREN V.B.</c:v>
                </c:pt>
                <c:pt idx="1">
                  <c:v>KERSHAW BUILT</c:v>
                </c:pt>
                <c:pt idx="2">
                  <c:v>NORDICO CIA.</c:v>
                </c:pt>
                <c:pt idx="3">
                  <c:v>ZAPPING  BI</c:v>
                </c:pt>
                <c:pt idx="4">
                  <c:v>VARSET CIA.</c:v>
                </c:pt>
                <c:pt idx="5">
                  <c:v>JP BAUER S.A.</c:v>
                </c:pt>
                <c:pt idx="6">
                  <c:v>LOPEZ HNOS.</c:v>
                </c:pt>
                <c:pt idx="7">
                  <c:v>WRESTLINGHOUSE</c:v>
                </c:pt>
                <c:pt idx="8">
                  <c:v>FALCON ENT.</c:v>
                </c:pt>
                <c:pt idx="9">
                  <c:v>CROMIT 2N</c:v>
                </c:pt>
              </c:strCache>
            </c:strRef>
          </c:cat>
          <c:val>
            <c:numRef>
              <c:f>Utilidades!$L$3:$L$13</c:f>
              <c:numCache>
                <c:formatCode>General</c:formatCode>
                <c:ptCount val="10"/>
                <c:pt idx="0">
                  <c:v>1429520</c:v>
                </c:pt>
                <c:pt idx="1">
                  <c:v>1627640</c:v>
                </c:pt>
                <c:pt idx="2">
                  <c:v>2527500</c:v>
                </c:pt>
                <c:pt idx="3">
                  <c:v>517300</c:v>
                </c:pt>
                <c:pt idx="4">
                  <c:v>349450</c:v>
                </c:pt>
                <c:pt idx="5">
                  <c:v>1081050</c:v>
                </c:pt>
                <c:pt idx="6">
                  <c:v>395945</c:v>
                </c:pt>
                <c:pt idx="8">
                  <c:v>1559560</c:v>
                </c:pt>
                <c:pt idx="9">
                  <c:v>366150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7D-4704-9252-F9ACB80A7549}"/>
            </c:ext>
          </c:extLst>
        </c:ser>
        <c:ser>
          <c:idx val="1"/>
          <c:order val="1"/>
          <c:tx>
            <c:strRef>
              <c:f>Utilidades!$M$1:$M$2</c:f>
              <c:strCache>
                <c:ptCount val="1"/>
                <c:pt idx="0">
                  <c:v>2do Trimestre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Utilidades!$K$3:$K$13</c:f>
              <c:strCache>
                <c:ptCount val="10"/>
                <c:pt idx="0">
                  <c:v>ESTEREN V.B.</c:v>
                </c:pt>
                <c:pt idx="1">
                  <c:v>KERSHAW BUILT</c:v>
                </c:pt>
                <c:pt idx="2">
                  <c:v>NORDICO CIA.</c:v>
                </c:pt>
                <c:pt idx="3">
                  <c:v>ZAPPING  BI</c:v>
                </c:pt>
                <c:pt idx="4">
                  <c:v>VARSET CIA.</c:v>
                </c:pt>
                <c:pt idx="5">
                  <c:v>JP BAUER S.A.</c:v>
                </c:pt>
                <c:pt idx="6">
                  <c:v>LOPEZ HNOS.</c:v>
                </c:pt>
                <c:pt idx="7">
                  <c:v>WRESTLINGHOUSE</c:v>
                </c:pt>
                <c:pt idx="8">
                  <c:v>FALCON ENT.</c:v>
                </c:pt>
                <c:pt idx="9">
                  <c:v>CROMIT 2N</c:v>
                </c:pt>
              </c:strCache>
            </c:strRef>
          </c:cat>
          <c:val>
            <c:numRef>
              <c:f>Utilidades!$M$3:$M$13</c:f>
              <c:numCache>
                <c:formatCode>General</c:formatCode>
                <c:ptCount val="10"/>
                <c:pt idx="0">
                  <c:v>307070</c:v>
                </c:pt>
                <c:pt idx="1">
                  <c:v>692585</c:v>
                </c:pt>
                <c:pt idx="2">
                  <c:v>415765</c:v>
                </c:pt>
                <c:pt idx="3">
                  <c:v>300000</c:v>
                </c:pt>
                <c:pt idx="4">
                  <c:v>1391275</c:v>
                </c:pt>
                <c:pt idx="5">
                  <c:v>644755</c:v>
                </c:pt>
                <c:pt idx="6">
                  <c:v>813045</c:v>
                </c:pt>
                <c:pt idx="7">
                  <c:v>1780545</c:v>
                </c:pt>
                <c:pt idx="8">
                  <c:v>1332385</c:v>
                </c:pt>
                <c:pt idx="9">
                  <c:v>939800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7D-4704-9252-F9ACB80A7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9454240"/>
        <c:axId val="439454896"/>
      </c:barChart>
      <c:lineChart>
        <c:grouping val="standard"/>
        <c:varyColors val="0"/>
        <c:ser>
          <c:idx val="2"/>
          <c:order val="2"/>
          <c:tx>
            <c:strRef>
              <c:f>Utilidades!$N$1:$N$2</c:f>
              <c:strCache>
                <c:ptCount val="1"/>
                <c:pt idx="0">
                  <c:v>3er Trimestre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Utilidades!$K$3:$K$13</c:f>
              <c:strCache>
                <c:ptCount val="10"/>
                <c:pt idx="0">
                  <c:v>ESTEREN V.B.</c:v>
                </c:pt>
                <c:pt idx="1">
                  <c:v>KERSHAW BUILT</c:v>
                </c:pt>
                <c:pt idx="2">
                  <c:v>NORDICO CIA.</c:v>
                </c:pt>
                <c:pt idx="3">
                  <c:v>ZAPPING  BI</c:v>
                </c:pt>
                <c:pt idx="4">
                  <c:v>VARSET CIA.</c:v>
                </c:pt>
                <c:pt idx="5">
                  <c:v>JP BAUER S.A.</c:v>
                </c:pt>
                <c:pt idx="6">
                  <c:v>LOPEZ HNOS.</c:v>
                </c:pt>
                <c:pt idx="7">
                  <c:v>WRESTLINGHOUSE</c:v>
                </c:pt>
                <c:pt idx="8">
                  <c:v>FALCON ENT.</c:v>
                </c:pt>
                <c:pt idx="9">
                  <c:v>CROMIT 2N</c:v>
                </c:pt>
              </c:strCache>
            </c:strRef>
          </c:cat>
          <c:val>
            <c:numRef>
              <c:f>Utilidades!$N$3:$N$13</c:f>
              <c:numCache>
                <c:formatCode>General</c:formatCode>
                <c:ptCount val="10"/>
                <c:pt idx="0">
                  <c:v>1023925</c:v>
                </c:pt>
                <c:pt idx="1">
                  <c:v>1547780</c:v>
                </c:pt>
                <c:pt idx="2">
                  <c:v>535990</c:v>
                </c:pt>
                <c:pt idx="3">
                  <c:v>1994620</c:v>
                </c:pt>
                <c:pt idx="4">
                  <c:v>585945</c:v>
                </c:pt>
                <c:pt idx="5">
                  <c:v>1204735</c:v>
                </c:pt>
                <c:pt idx="6">
                  <c:v>1689600</c:v>
                </c:pt>
                <c:pt idx="7">
                  <c:v>1851030</c:v>
                </c:pt>
                <c:pt idx="8">
                  <c:v>213910</c:v>
                </c:pt>
                <c:pt idx="9">
                  <c:v>960000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7D-4704-9252-F9ACB80A7549}"/>
            </c:ext>
          </c:extLst>
        </c:ser>
        <c:ser>
          <c:idx val="3"/>
          <c:order val="3"/>
          <c:tx>
            <c:strRef>
              <c:f>Utilidades!$O$1:$O$2</c:f>
              <c:strCache>
                <c:ptCount val="1"/>
                <c:pt idx="0">
                  <c:v>4to Trimestre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Utilidades!$K$3:$K$13</c:f>
              <c:strCache>
                <c:ptCount val="10"/>
                <c:pt idx="0">
                  <c:v>ESTEREN V.B.</c:v>
                </c:pt>
                <c:pt idx="1">
                  <c:v>KERSHAW BUILT</c:v>
                </c:pt>
                <c:pt idx="2">
                  <c:v>NORDICO CIA.</c:v>
                </c:pt>
                <c:pt idx="3">
                  <c:v>ZAPPING  BI</c:v>
                </c:pt>
                <c:pt idx="4">
                  <c:v>VARSET CIA.</c:v>
                </c:pt>
                <c:pt idx="5">
                  <c:v>JP BAUER S.A.</c:v>
                </c:pt>
                <c:pt idx="6">
                  <c:v>LOPEZ HNOS.</c:v>
                </c:pt>
                <c:pt idx="7">
                  <c:v>WRESTLINGHOUSE</c:v>
                </c:pt>
                <c:pt idx="8">
                  <c:v>FALCON ENT.</c:v>
                </c:pt>
                <c:pt idx="9">
                  <c:v>CROMIT 2N</c:v>
                </c:pt>
              </c:strCache>
            </c:strRef>
          </c:cat>
          <c:val>
            <c:numRef>
              <c:f>Utilidades!$O$3:$O$13</c:f>
              <c:numCache>
                <c:formatCode>General</c:formatCode>
                <c:ptCount val="10"/>
                <c:pt idx="0">
                  <c:v>3958395</c:v>
                </c:pt>
                <c:pt idx="1">
                  <c:v>1726830</c:v>
                </c:pt>
                <c:pt idx="2">
                  <c:v>1071980</c:v>
                </c:pt>
                <c:pt idx="3">
                  <c:v>1412285</c:v>
                </c:pt>
                <c:pt idx="4">
                  <c:v>1610705</c:v>
                </c:pt>
                <c:pt idx="5">
                  <c:v>769800</c:v>
                </c:pt>
                <c:pt idx="6">
                  <c:v>790000</c:v>
                </c:pt>
                <c:pt idx="8">
                  <c:v>170000</c:v>
                </c:pt>
                <c:pt idx="9">
                  <c:v>860925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7D-4704-9252-F9ACB80A7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4240"/>
        <c:axId val="439454896"/>
      </c:lineChart>
      <c:catAx>
        <c:axId val="43945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9454896"/>
        <c:crosses val="autoZero"/>
        <c:auto val="1"/>
        <c:lblAlgn val="ctr"/>
        <c:lblOffset val="100"/>
        <c:noMultiLvlLbl val="0"/>
      </c:catAx>
      <c:valAx>
        <c:axId val="43945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945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[PRACTICA 03 (examen casero individual).xlsm]Informe de Ingresos y Utilidad!TablaDinámica12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Utilidad</a:t>
            </a:r>
            <a:r>
              <a:rPr lang="es-ES" baseline="0"/>
              <a:t> y margen de 5 mejores productos en ingresos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'Informe de Ingresos y Utilidad'!$B$7</c:f>
              <c:strCache>
                <c:ptCount val="1"/>
                <c:pt idx="0">
                  <c:v>Suma de Ingresos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'Informe de Ingresos y Utilidad'!$A$8:$A$13</c:f>
              <c:strCache>
                <c:ptCount val="5"/>
                <c:pt idx="0">
                  <c:v>Tarjetas Wifi</c:v>
                </c:pt>
                <c:pt idx="1">
                  <c:v>Escáners</c:v>
                </c:pt>
                <c:pt idx="2">
                  <c:v>SSD</c:v>
                </c:pt>
                <c:pt idx="3">
                  <c:v>Monitores</c:v>
                </c:pt>
                <c:pt idx="4">
                  <c:v>Memorias USB</c:v>
                </c:pt>
              </c:strCache>
            </c:strRef>
          </c:cat>
          <c:val>
            <c:numRef>
              <c:f>'Informe de Ingresos y Utilidad'!$B$8:$B$13</c:f>
              <c:numCache>
                <c:formatCode>_-[$$-80A]* #,##0.00_-;\-[$$-80A]* #,##0.00_-;_-[$$-80A]* "-"??_-;_-@_-</c:formatCode>
                <c:ptCount val="5"/>
                <c:pt idx="0">
                  <c:v>9387910</c:v>
                </c:pt>
                <c:pt idx="1">
                  <c:v>8251755</c:v>
                </c:pt>
                <c:pt idx="2">
                  <c:v>7781655</c:v>
                </c:pt>
                <c:pt idx="3">
                  <c:v>6843565</c:v>
                </c:pt>
                <c:pt idx="4">
                  <c:v>6574950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5-4A83-9F1A-39FEC1B1B670}"/>
            </c:ext>
          </c:extLst>
        </c:ser>
        <c:ser>
          <c:idx val="1"/>
          <c:order val="1"/>
          <c:tx>
            <c:strRef>
              <c:f>'Informe de Ingresos y Utilidad'!$C$7</c:f>
              <c:strCache>
                <c:ptCount val="1"/>
                <c:pt idx="0">
                  <c:v>Suma de utilidad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'Informe de Ingresos y Utilidad'!$A$8:$A$13</c:f>
              <c:strCache>
                <c:ptCount val="5"/>
                <c:pt idx="0">
                  <c:v>Tarjetas Wifi</c:v>
                </c:pt>
                <c:pt idx="1">
                  <c:v>Escáners</c:v>
                </c:pt>
                <c:pt idx="2">
                  <c:v>SSD</c:v>
                </c:pt>
                <c:pt idx="3">
                  <c:v>Monitores</c:v>
                </c:pt>
                <c:pt idx="4">
                  <c:v>Memorias USB</c:v>
                </c:pt>
              </c:strCache>
            </c:strRef>
          </c:cat>
          <c:val>
            <c:numRef>
              <c:f>'Informe de Ingresos y Utilidad'!$C$8:$C$13</c:f>
              <c:numCache>
                <c:formatCode>_-[$$-80A]* #,##0.00_-;\-[$$-80A]* #,##0.00_-;_-[$$-80A]* "-"??_-;_-@_-</c:formatCode>
                <c:ptCount val="5"/>
                <c:pt idx="0">
                  <c:v>4881272.5</c:v>
                </c:pt>
                <c:pt idx="1">
                  <c:v>4924431.5</c:v>
                </c:pt>
                <c:pt idx="2">
                  <c:v>4445805.5</c:v>
                </c:pt>
                <c:pt idx="3">
                  <c:v>3820837.5</c:v>
                </c:pt>
                <c:pt idx="4">
                  <c:v>4241918.5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E5-4A83-9F1A-39FEC1B1B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3384248"/>
        <c:axId val="523385888"/>
      </c:barChart>
      <c:lineChart>
        <c:grouping val="standard"/>
        <c:varyColors val="0"/>
        <c:ser>
          <c:idx val="2"/>
          <c:order val="2"/>
          <c:tx>
            <c:strRef>
              <c:f>'Informe de Ingresos y Utilidad'!$D$7</c:f>
              <c:strCache>
                <c:ptCount val="1"/>
                <c:pt idx="0">
                  <c:v>Suma de Margen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'Informe de Ingresos y Utilidad'!$A$8:$A$13</c:f>
              <c:strCache>
                <c:ptCount val="5"/>
                <c:pt idx="0">
                  <c:v>Tarjetas Wifi</c:v>
                </c:pt>
                <c:pt idx="1">
                  <c:v>Escáners</c:v>
                </c:pt>
                <c:pt idx="2">
                  <c:v>SSD</c:v>
                </c:pt>
                <c:pt idx="3">
                  <c:v>Monitores</c:v>
                </c:pt>
                <c:pt idx="4">
                  <c:v>Memorias USB</c:v>
                </c:pt>
              </c:strCache>
            </c:strRef>
          </c:cat>
          <c:val>
            <c:numRef>
              <c:f>'Informe de Ingresos y Utilidad'!$D$8:$D$13</c:f>
              <c:numCache>
                <c:formatCode>0.00%</c:formatCode>
                <c:ptCount val="5"/>
                <c:pt idx="0">
                  <c:v>0.51995305664413061</c:v>
                </c:pt>
                <c:pt idx="1">
                  <c:v>0.59677383780783599</c:v>
                </c:pt>
                <c:pt idx="2">
                  <c:v>0.57131876188291564</c:v>
                </c:pt>
                <c:pt idx="3">
                  <c:v>0.55831098265304702</c:v>
                </c:pt>
                <c:pt idx="4">
                  <c:v>0.64516361341150885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E5-4A83-9F1A-39FEC1B1B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97368"/>
        <c:axId val="523405240"/>
      </c:lineChart>
      <c:catAx>
        <c:axId val="52338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385888"/>
        <c:crosses val="autoZero"/>
        <c:auto val="1"/>
        <c:lblAlgn val="ctr"/>
        <c:lblOffset val="100"/>
        <c:noMultiLvlLbl val="0"/>
      </c:catAx>
      <c:valAx>
        <c:axId val="52338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80A]* #,##0.00_-;\-[$$-80A]* #,##0.00_-;_-[$$-80A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384248"/>
        <c:crosses val="autoZero"/>
        <c:crossBetween val="between"/>
      </c:valAx>
      <c:valAx>
        <c:axId val="52340524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397368"/>
        <c:crosses val="max"/>
        <c:crossBetween val="between"/>
      </c:valAx>
      <c:catAx>
        <c:axId val="523397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3405240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[PRACTICA 03 (examen casero individual).xlsm]Informe de Ingresos y Utilidad!TablaDinámica11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Utilidad y margen de las 10 mejores empresas en ingresos Y sus productos</a:t>
            </a:r>
            <a:endParaRPr lang="es-ES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'Informe de Ingresos y Utilidad'!$B$17</c:f>
              <c:strCache>
                <c:ptCount val="1"/>
                <c:pt idx="0">
                  <c:v>Suma de Ingresos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'Informe de Ingresos y Utilidad'!$A$18:$A$46</c:f>
              <c:multiLvlStrCache>
                <c:ptCount val="25"/>
                <c:lvl>
                  <c:pt idx="1">
                    <c:v>Monitores</c:v>
                  </c:pt>
                  <c:pt idx="2">
                    <c:v>Impresoras</c:v>
                  </c:pt>
                  <c:pt idx="3">
                    <c:v>SSD</c:v>
                  </c:pt>
                  <c:pt idx="4">
                    <c:v>Laptops</c:v>
                  </c:pt>
                  <c:pt idx="5">
                    <c:v>Tarjetas Wifi</c:v>
                  </c:pt>
                  <c:pt idx="6">
                    <c:v>Escáners</c:v>
                  </c:pt>
                  <c:pt idx="8">
                    <c:v>Computadoras</c:v>
                  </c:pt>
                  <c:pt idx="9">
                    <c:v>SSD</c:v>
                  </c:pt>
                  <c:pt idx="10">
                    <c:v>Escáners</c:v>
                  </c:pt>
                  <c:pt idx="11">
                    <c:v>Tarjetas Wifi</c:v>
                  </c:pt>
                  <c:pt idx="12">
                    <c:v>Memorias USB</c:v>
                  </c:pt>
                  <c:pt idx="13">
                    <c:v>Laptops</c:v>
                  </c:pt>
                  <c:pt idx="17">
                    <c:v>Monitores</c:v>
                  </c:pt>
                  <c:pt idx="18">
                    <c:v>Tarjetas Wifi</c:v>
                  </c:pt>
                  <c:pt idx="19">
                    <c:v>Impresoras</c:v>
                  </c:pt>
                  <c:pt idx="20">
                    <c:v>Memorias USB</c:v>
                  </c:pt>
                  <c:pt idx="21">
                    <c:v>Escáners</c:v>
                  </c:pt>
                  <c:pt idx="22">
                    <c:v>SSD</c:v>
                  </c:pt>
                </c:lvl>
                <c:lvl>
                  <c:pt idx="0">
                    <c:v>KERSHAW BUILT</c:v>
                  </c:pt>
                  <c:pt idx="1">
                    <c:v>TEEN &amp; ASOCS.</c:v>
                  </c:pt>
                  <c:pt idx="7">
                    <c:v>CROMIT 2N</c:v>
                  </c:pt>
                  <c:pt idx="8">
                    <c:v>GROMIT WARNER</c:v>
                  </c:pt>
                  <c:pt idx="14">
                    <c:v>ACEREX S.A.</c:v>
                  </c:pt>
                  <c:pt idx="15">
                    <c:v>WRESTLINGHOUSE</c:v>
                  </c:pt>
                  <c:pt idx="16">
                    <c:v>VARSET CIA.</c:v>
                  </c:pt>
                  <c:pt idx="17">
                    <c:v>QUALCOMM</c:v>
                  </c:pt>
                  <c:pt idx="23">
                    <c:v>LOPEZ HNOS.</c:v>
                  </c:pt>
                  <c:pt idx="24">
                    <c:v>JP BAUER S.A.</c:v>
                  </c:pt>
                </c:lvl>
              </c:multiLvlStrCache>
            </c:multiLvlStrRef>
          </c:cat>
          <c:val>
            <c:numRef>
              <c:f>'Informe de Ingresos y Utilidad'!$B$18:$B$46</c:f>
              <c:numCache>
                <c:formatCode>_-[$$-80A]* #,##0.00_-;\-[$$-80A]* #,##0.00_-;_-[$$-80A]* "-"??_-;_-@_-</c:formatCode>
                <c:ptCount val="25"/>
                <c:pt idx="0">
                  <c:v>5225365</c:v>
                </c:pt>
                <c:pt idx="1">
                  <c:v>1259800</c:v>
                </c:pt>
                <c:pt idx="2">
                  <c:v>1259800</c:v>
                </c:pt>
                <c:pt idx="3">
                  <c:v>980000</c:v>
                </c:pt>
                <c:pt idx="4">
                  <c:v>730920</c:v>
                </c:pt>
                <c:pt idx="5">
                  <c:v>490000</c:v>
                </c:pt>
                <c:pt idx="6">
                  <c:v>365285</c:v>
                </c:pt>
                <c:pt idx="7">
                  <c:v>4625230</c:v>
                </c:pt>
                <c:pt idx="8">
                  <c:v>1249250</c:v>
                </c:pt>
                <c:pt idx="9">
                  <c:v>993970</c:v>
                </c:pt>
                <c:pt idx="10">
                  <c:v>819450</c:v>
                </c:pt>
                <c:pt idx="11">
                  <c:v>790000</c:v>
                </c:pt>
                <c:pt idx="12">
                  <c:v>300000</c:v>
                </c:pt>
                <c:pt idx="13">
                  <c:v>170000</c:v>
                </c:pt>
                <c:pt idx="14">
                  <c:v>3900620</c:v>
                </c:pt>
                <c:pt idx="15">
                  <c:v>3791290</c:v>
                </c:pt>
                <c:pt idx="16">
                  <c:v>3068280</c:v>
                </c:pt>
                <c:pt idx="17">
                  <c:v>683750</c:v>
                </c:pt>
                <c:pt idx="18">
                  <c:v>599800</c:v>
                </c:pt>
                <c:pt idx="19">
                  <c:v>599800</c:v>
                </c:pt>
                <c:pt idx="20">
                  <c:v>535990</c:v>
                </c:pt>
                <c:pt idx="21">
                  <c:v>395945</c:v>
                </c:pt>
                <c:pt idx="22">
                  <c:v>147760</c:v>
                </c:pt>
                <c:pt idx="23">
                  <c:v>2720445</c:v>
                </c:pt>
                <c:pt idx="24">
                  <c:v>2697280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F7-4214-A37D-E134889BBFAF}"/>
            </c:ext>
          </c:extLst>
        </c:ser>
        <c:ser>
          <c:idx val="1"/>
          <c:order val="1"/>
          <c:tx>
            <c:strRef>
              <c:f>'Informe de Ingresos y Utilidad'!$C$17</c:f>
              <c:strCache>
                <c:ptCount val="1"/>
                <c:pt idx="0">
                  <c:v>Suma de utilidad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'Informe de Ingresos y Utilidad'!$A$18:$A$46</c:f>
              <c:multiLvlStrCache>
                <c:ptCount val="25"/>
                <c:lvl>
                  <c:pt idx="1">
                    <c:v>Monitores</c:v>
                  </c:pt>
                  <c:pt idx="2">
                    <c:v>Impresoras</c:v>
                  </c:pt>
                  <c:pt idx="3">
                    <c:v>SSD</c:v>
                  </c:pt>
                  <c:pt idx="4">
                    <c:v>Laptops</c:v>
                  </c:pt>
                  <c:pt idx="5">
                    <c:v>Tarjetas Wifi</c:v>
                  </c:pt>
                  <c:pt idx="6">
                    <c:v>Escáners</c:v>
                  </c:pt>
                  <c:pt idx="8">
                    <c:v>Computadoras</c:v>
                  </c:pt>
                  <c:pt idx="9">
                    <c:v>SSD</c:v>
                  </c:pt>
                  <c:pt idx="10">
                    <c:v>Escáners</c:v>
                  </c:pt>
                  <c:pt idx="11">
                    <c:v>Tarjetas Wifi</c:v>
                  </c:pt>
                  <c:pt idx="12">
                    <c:v>Memorias USB</c:v>
                  </c:pt>
                  <c:pt idx="13">
                    <c:v>Laptops</c:v>
                  </c:pt>
                  <c:pt idx="17">
                    <c:v>Monitores</c:v>
                  </c:pt>
                  <c:pt idx="18">
                    <c:v>Tarjetas Wifi</c:v>
                  </c:pt>
                  <c:pt idx="19">
                    <c:v>Impresoras</c:v>
                  </c:pt>
                  <c:pt idx="20">
                    <c:v>Memorias USB</c:v>
                  </c:pt>
                  <c:pt idx="21">
                    <c:v>Escáners</c:v>
                  </c:pt>
                  <c:pt idx="22">
                    <c:v>SSD</c:v>
                  </c:pt>
                </c:lvl>
                <c:lvl>
                  <c:pt idx="0">
                    <c:v>KERSHAW BUILT</c:v>
                  </c:pt>
                  <c:pt idx="1">
                    <c:v>TEEN &amp; ASOCS.</c:v>
                  </c:pt>
                  <c:pt idx="7">
                    <c:v>CROMIT 2N</c:v>
                  </c:pt>
                  <c:pt idx="8">
                    <c:v>GROMIT WARNER</c:v>
                  </c:pt>
                  <c:pt idx="14">
                    <c:v>ACEREX S.A.</c:v>
                  </c:pt>
                  <c:pt idx="15">
                    <c:v>WRESTLINGHOUSE</c:v>
                  </c:pt>
                  <c:pt idx="16">
                    <c:v>VARSET CIA.</c:v>
                  </c:pt>
                  <c:pt idx="17">
                    <c:v>QUALCOMM</c:v>
                  </c:pt>
                  <c:pt idx="23">
                    <c:v>LOPEZ HNOS.</c:v>
                  </c:pt>
                  <c:pt idx="24">
                    <c:v>JP BAUER S.A.</c:v>
                  </c:pt>
                </c:lvl>
              </c:multiLvlStrCache>
            </c:multiLvlStrRef>
          </c:cat>
          <c:val>
            <c:numRef>
              <c:f>'Informe de Ingresos y Utilidad'!$C$18:$C$46</c:f>
              <c:numCache>
                <c:formatCode>_-[$$-80A]* #,##0.00_-;\-[$$-80A]* #,##0.00_-;_-[$$-80A]* "-"??_-;_-@_-</c:formatCode>
                <c:ptCount val="25"/>
                <c:pt idx="0">
                  <c:v>3533013.25</c:v>
                </c:pt>
                <c:pt idx="1">
                  <c:v>752330</c:v>
                </c:pt>
                <c:pt idx="2">
                  <c:v>705340</c:v>
                </c:pt>
                <c:pt idx="3">
                  <c:v>637000</c:v>
                </c:pt>
                <c:pt idx="4">
                  <c:v>468667</c:v>
                </c:pt>
                <c:pt idx="5">
                  <c:v>245000</c:v>
                </c:pt>
                <c:pt idx="6">
                  <c:v>310492.25</c:v>
                </c:pt>
                <c:pt idx="7">
                  <c:v>2911115.75</c:v>
                </c:pt>
                <c:pt idx="8">
                  <c:v>1024435</c:v>
                </c:pt>
                <c:pt idx="9">
                  <c:v>718678</c:v>
                </c:pt>
                <c:pt idx="10">
                  <c:v>365986</c:v>
                </c:pt>
                <c:pt idx="11">
                  <c:v>421000</c:v>
                </c:pt>
                <c:pt idx="12">
                  <c:v>255000</c:v>
                </c:pt>
                <c:pt idx="13">
                  <c:v>127500</c:v>
                </c:pt>
                <c:pt idx="14">
                  <c:v>2244577.5</c:v>
                </c:pt>
                <c:pt idx="15">
                  <c:v>2076282.75</c:v>
                </c:pt>
                <c:pt idx="16">
                  <c:v>1522250.5</c:v>
                </c:pt>
                <c:pt idx="17">
                  <c:v>270770</c:v>
                </c:pt>
                <c:pt idx="18">
                  <c:v>449850</c:v>
                </c:pt>
                <c:pt idx="19">
                  <c:v>479840</c:v>
                </c:pt>
                <c:pt idx="20">
                  <c:v>455591.5</c:v>
                </c:pt>
                <c:pt idx="21">
                  <c:v>191958.75</c:v>
                </c:pt>
                <c:pt idx="22">
                  <c:v>113550</c:v>
                </c:pt>
                <c:pt idx="23">
                  <c:v>1517743.5</c:v>
                </c:pt>
                <c:pt idx="24">
                  <c:v>1626484.75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F7-4214-A37D-E134889BB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3389496"/>
        <c:axId val="523387528"/>
      </c:barChart>
      <c:lineChart>
        <c:grouping val="standard"/>
        <c:varyColors val="0"/>
        <c:ser>
          <c:idx val="2"/>
          <c:order val="2"/>
          <c:tx>
            <c:strRef>
              <c:f>'Informe de Ingresos y Utilidad'!$D$17</c:f>
              <c:strCache>
                <c:ptCount val="1"/>
                <c:pt idx="0">
                  <c:v>Suma de Margen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multiLvlStrRef>
              <c:f>'Informe de Ingresos y Utilidad'!$A$18:$A$46</c:f>
              <c:multiLvlStrCache>
                <c:ptCount val="25"/>
                <c:lvl>
                  <c:pt idx="1">
                    <c:v>Monitores</c:v>
                  </c:pt>
                  <c:pt idx="2">
                    <c:v>Impresoras</c:v>
                  </c:pt>
                  <c:pt idx="3">
                    <c:v>SSD</c:v>
                  </c:pt>
                  <c:pt idx="4">
                    <c:v>Laptops</c:v>
                  </c:pt>
                  <c:pt idx="5">
                    <c:v>Tarjetas Wifi</c:v>
                  </c:pt>
                  <c:pt idx="6">
                    <c:v>Escáners</c:v>
                  </c:pt>
                  <c:pt idx="8">
                    <c:v>Computadoras</c:v>
                  </c:pt>
                  <c:pt idx="9">
                    <c:v>SSD</c:v>
                  </c:pt>
                  <c:pt idx="10">
                    <c:v>Escáners</c:v>
                  </c:pt>
                  <c:pt idx="11">
                    <c:v>Tarjetas Wifi</c:v>
                  </c:pt>
                  <c:pt idx="12">
                    <c:v>Memorias USB</c:v>
                  </c:pt>
                  <c:pt idx="13">
                    <c:v>Laptops</c:v>
                  </c:pt>
                  <c:pt idx="17">
                    <c:v>Monitores</c:v>
                  </c:pt>
                  <c:pt idx="18">
                    <c:v>Tarjetas Wifi</c:v>
                  </c:pt>
                  <c:pt idx="19">
                    <c:v>Impresoras</c:v>
                  </c:pt>
                  <c:pt idx="20">
                    <c:v>Memorias USB</c:v>
                  </c:pt>
                  <c:pt idx="21">
                    <c:v>Escáners</c:v>
                  </c:pt>
                  <c:pt idx="22">
                    <c:v>SSD</c:v>
                  </c:pt>
                </c:lvl>
                <c:lvl>
                  <c:pt idx="0">
                    <c:v>KERSHAW BUILT</c:v>
                  </c:pt>
                  <c:pt idx="1">
                    <c:v>TEEN &amp; ASOCS.</c:v>
                  </c:pt>
                  <c:pt idx="7">
                    <c:v>CROMIT 2N</c:v>
                  </c:pt>
                  <c:pt idx="8">
                    <c:v>GROMIT WARNER</c:v>
                  </c:pt>
                  <c:pt idx="14">
                    <c:v>ACEREX S.A.</c:v>
                  </c:pt>
                  <c:pt idx="15">
                    <c:v>WRESTLINGHOUSE</c:v>
                  </c:pt>
                  <c:pt idx="16">
                    <c:v>VARSET CIA.</c:v>
                  </c:pt>
                  <c:pt idx="17">
                    <c:v>QUALCOMM</c:v>
                  </c:pt>
                  <c:pt idx="23">
                    <c:v>LOPEZ HNOS.</c:v>
                  </c:pt>
                  <c:pt idx="24">
                    <c:v>JP BAUER S.A.</c:v>
                  </c:pt>
                </c:lvl>
              </c:multiLvlStrCache>
            </c:multiLvlStrRef>
          </c:cat>
          <c:val>
            <c:numRef>
              <c:f>'Informe de Ingresos y Utilidad'!$D$18:$D$46</c:f>
              <c:numCache>
                <c:formatCode>0.00%</c:formatCode>
                <c:ptCount val="25"/>
                <c:pt idx="0">
                  <c:v>0.67612755281210024</c:v>
                </c:pt>
                <c:pt idx="1">
                  <c:v>0.59718209239561837</c:v>
                </c:pt>
                <c:pt idx="2">
                  <c:v>0.55988252103508496</c:v>
                </c:pt>
                <c:pt idx="3">
                  <c:v>0.65</c:v>
                </c:pt>
                <c:pt idx="4">
                  <c:v>0.6412014994801073</c:v>
                </c:pt>
                <c:pt idx="5">
                  <c:v>0.5</c:v>
                </c:pt>
                <c:pt idx="6">
                  <c:v>0.85</c:v>
                </c:pt>
                <c:pt idx="7">
                  <c:v>0.62939913258367697</c:v>
                </c:pt>
                <c:pt idx="8">
                  <c:v>0.82004002401440867</c:v>
                </c:pt>
                <c:pt idx="9">
                  <c:v>0.72303791864945621</c:v>
                </c:pt>
                <c:pt idx="10">
                  <c:v>0.44662395509182989</c:v>
                </c:pt>
                <c:pt idx="11">
                  <c:v>0.53291139240506324</c:v>
                </c:pt>
                <c:pt idx="12">
                  <c:v>0.85</c:v>
                </c:pt>
                <c:pt idx="13">
                  <c:v>0.75</c:v>
                </c:pt>
                <c:pt idx="14">
                  <c:v>0.5754412119099015</c:v>
                </c:pt>
                <c:pt idx="15">
                  <c:v>0.54764545840597789</c:v>
                </c:pt>
                <c:pt idx="16">
                  <c:v>0.49612502770281719</c:v>
                </c:pt>
                <c:pt idx="17">
                  <c:v>0.39600731261425959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0.48481165313364227</c:v>
                </c:pt>
                <c:pt idx="22">
                  <c:v>0.76847590687601519</c:v>
                </c:pt>
                <c:pt idx="23">
                  <c:v>0.55790265930757654</c:v>
                </c:pt>
                <c:pt idx="24">
                  <c:v>0.60300923522956462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F7-4214-A37D-E134889BB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98024"/>
        <c:axId val="523400320"/>
      </c:lineChart>
      <c:catAx>
        <c:axId val="52338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387528"/>
        <c:crosses val="autoZero"/>
        <c:auto val="1"/>
        <c:lblAlgn val="ctr"/>
        <c:lblOffset val="100"/>
        <c:noMultiLvlLbl val="0"/>
      </c:catAx>
      <c:valAx>
        <c:axId val="52338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80A]* #,##0.00_-;\-[$$-80A]* #,##0.00_-;_-[$$-80A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389496"/>
        <c:crosses val="autoZero"/>
        <c:crossBetween val="between"/>
      </c:valAx>
      <c:valAx>
        <c:axId val="52340032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398024"/>
        <c:crosses val="max"/>
        <c:crossBetween val="between"/>
      </c:valAx>
      <c:catAx>
        <c:axId val="5233980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340032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[PRACTICA 03 (examen casero individual).xlsm]Informe de Ingresos y Utilidad!TablaDinámica10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Utilidad y margen de las 10 mejores empresas en ingresos, con sus respectivos trimestres</a:t>
            </a:r>
            <a:endParaRPr lang="es-ES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'Informe de Ingresos y Utilidad'!$K$1:$K$2</c:f>
              <c:strCache>
                <c:ptCount val="1"/>
                <c:pt idx="0">
                  <c:v>1er Trimestre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'Informe de Ingresos y Utilidad'!$J$3:$J$13</c:f>
              <c:strCache>
                <c:ptCount val="10"/>
                <c:pt idx="0">
                  <c:v>KERSHAW BUILT</c:v>
                </c:pt>
                <c:pt idx="1">
                  <c:v>TEEN &amp; ASOCS.</c:v>
                </c:pt>
                <c:pt idx="2">
                  <c:v>CROMIT 2N</c:v>
                </c:pt>
                <c:pt idx="3">
                  <c:v>GROMIT WARNER</c:v>
                </c:pt>
                <c:pt idx="4">
                  <c:v>ACEREX S.A.</c:v>
                </c:pt>
                <c:pt idx="5">
                  <c:v>WRESTLINGHOUSE</c:v>
                </c:pt>
                <c:pt idx="6">
                  <c:v>VARSET CIA.</c:v>
                </c:pt>
                <c:pt idx="7">
                  <c:v>QUALCOMM</c:v>
                </c:pt>
                <c:pt idx="8">
                  <c:v>LOPEZ HNOS.</c:v>
                </c:pt>
                <c:pt idx="9">
                  <c:v>JP BAUER S.A.</c:v>
                </c:pt>
              </c:strCache>
            </c:strRef>
          </c:cat>
          <c:val>
            <c:numRef>
              <c:f>'Informe de Ingresos y Utilidad'!$K$3:$K$13</c:f>
              <c:numCache>
                <c:formatCode>_-[$$-80A]* #,##0.00_-;\-[$$-80A]* #,##0.00_-;_-[$$-80A]* "-"??_-;_-@_-</c:formatCode>
                <c:ptCount val="10"/>
                <c:pt idx="0">
                  <c:v>1887385</c:v>
                </c:pt>
                <c:pt idx="1">
                  <c:v>720260</c:v>
                </c:pt>
                <c:pt idx="2">
                  <c:v>461230</c:v>
                </c:pt>
                <c:pt idx="3">
                  <c:v>940000</c:v>
                </c:pt>
                <c:pt idx="4">
                  <c:v>1180040</c:v>
                </c:pt>
                <c:pt idx="5">
                  <c:v>1833405</c:v>
                </c:pt>
                <c:pt idx="6">
                  <c:v>1397010</c:v>
                </c:pt>
                <c:pt idx="7">
                  <c:v>995745</c:v>
                </c:pt>
                <c:pt idx="8">
                  <c:v>1015765</c:v>
                </c:pt>
                <c:pt idx="9">
                  <c:v>1033810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4-4C8F-A1EA-84F510E7A542}"/>
            </c:ext>
          </c:extLst>
        </c:ser>
        <c:ser>
          <c:idx val="1"/>
          <c:order val="1"/>
          <c:tx>
            <c:strRef>
              <c:f>'Informe de Ingresos y Utilidad'!$L$1:$L$2</c:f>
              <c:strCache>
                <c:ptCount val="1"/>
                <c:pt idx="0">
                  <c:v>2do Trimestre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'Informe de Ingresos y Utilidad'!$J$3:$J$13</c:f>
              <c:strCache>
                <c:ptCount val="10"/>
                <c:pt idx="0">
                  <c:v>KERSHAW BUILT</c:v>
                </c:pt>
                <c:pt idx="1">
                  <c:v>TEEN &amp; ASOCS.</c:v>
                </c:pt>
                <c:pt idx="2">
                  <c:v>CROMIT 2N</c:v>
                </c:pt>
                <c:pt idx="3">
                  <c:v>GROMIT WARNER</c:v>
                </c:pt>
                <c:pt idx="4">
                  <c:v>ACEREX S.A.</c:v>
                </c:pt>
                <c:pt idx="5">
                  <c:v>WRESTLINGHOUSE</c:v>
                </c:pt>
                <c:pt idx="6">
                  <c:v>VARSET CIA.</c:v>
                </c:pt>
                <c:pt idx="7">
                  <c:v>QUALCOMM</c:v>
                </c:pt>
                <c:pt idx="8">
                  <c:v>LOPEZ HNOS.</c:v>
                </c:pt>
                <c:pt idx="9">
                  <c:v>JP BAUER S.A.</c:v>
                </c:pt>
              </c:strCache>
            </c:strRef>
          </c:cat>
          <c:val>
            <c:numRef>
              <c:f>'Informe de Ingresos y Utilidad'!$L$3:$L$13</c:f>
              <c:numCache>
                <c:formatCode>_-[$$-80A]* #,##0.00_-;\-[$$-80A]* #,##0.00_-;_-[$$-80A]* "-"??_-;_-@_-</c:formatCode>
                <c:ptCount val="10"/>
                <c:pt idx="0">
                  <c:v>1728140</c:v>
                </c:pt>
                <c:pt idx="1">
                  <c:v>490000</c:v>
                </c:pt>
                <c:pt idx="2">
                  <c:v>1526900</c:v>
                </c:pt>
                <c:pt idx="3">
                  <c:v>947980</c:v>
                </c:pt>
                <c:pt idx="4">
                  <c:v>599800</c:v>
                </c:pt>
                <c:pt idx="5">
                  <c:v>236150</c:v>
                </c:pt>
                <c:pt idx="6">
                  <c:v>858830</c:v>
                </c:pt>
                <c:pt idx="7">
                  <c:v>1135790</c:v>
                </c:pt>
                <c:pt idx="8">
                  <c:v>490000</c:v>
                </c:pt>
                <c:pt idx="9">
                  <c:v>392585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14-4C8F-A1EA-84F510E7A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254752"/>
        <c:axId val="448246224"/>
      </c:barChart>
      <c:lineChart>
        <c:grouping val="standard"/>
        <c:varyColors val="0"/>
        <c:ser>
          <c:idx val="2"/>
          <c:order val="2"/>
          <c:tx>
            <c:strRef>
              <c:f>'Informe de Ingresos y Utilidad'!$M$1:$M$2</c:f>
              <c:strCache>
                <c:ptCount val="1"/>
                <c:pt idx="0">
                  <c:v>3er Trimestre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'Informe de Ingresos y Utilidad'!$J$3:$J$13</c:f>
              <c:strCache>
                <c:ptCount val="10"/>
                <c:pt idx="0">
                  <c:v>KERSHAW BUILT</c:v>
                </c:pt>
                <c:pt idx="1">
                  <c:v>TEEN &amp; ASOCS.</c:v>
                </c:pt>
                <c:pt idx="2">
                  <c:v>CROMIT 2N</c:v>
                </c:pt>
                <c:pt idx="3">
                  <c:v>GROMIT WARNER</c:v>
                </c:pt>
                <c:pt idx="4">
                  <c:v>ACEREX S.A.</c:v>
                </c:pt>
                <c:pt idx="5">
                  <c:v>WRESTLINGHOUSE</c:v>
                </c:pt>
                <c:pt idx="6">
                  <c:v>VARSET CIA.</c:v>
                </c:pt>
                <c:pt idx="7">
                  <c:v>QUALCOMM</c:v>
                </c:pt>
                <c:pt idx="8">
                  <c:v>LOPEZ HNOS.</c:v>
                </c:pt>
                <c:pt idx="9">
                  <c:v>JP BAUER S.A.</c:v>
                </c:pt>
              </c:strCache>
            </c:strRef>
          </c:cat>
          <c:val>
            <c:numRef>
              <c:f>'Informe de Ingresos y Utilidad'!$M$3:$M$13</c:f>
              <c:numCache>
                <c:formatCode>_-[$$-80A]* #,##0.00_-;\-[$$-80A]* #,##0.00_-;_-[$$-80A]* "-"??_-;_-@_-</c:formatCode>
                <c:ptCount val="10"/>
                <c:pt idx="0">
                  <c:v>1010040</c:v>
                </c:pt>
                <c:pt idx="1">
                  <c:v>2495285</c:v>
                </c:pt>
                <c:pt idx="2">
                  <c:v>1256250</c:v>
                </c:pt>
                <c:pt idx="3">
                  <c:v>1785240</c:v>
                </c:pt>
                <c:pt idx="4">
                  <c:v>1350980</c:v>
                </c:pt>
                <c:pt idx="5">
                  <c:v>1721735</c:v>
                </c:pt>
                <c:pt idx="6">
                  <c:v>322440</c:v>
                </c:pt>
                <c:pt idx="7">
                  <c:v>27300</c:v>
                </c:pt>
                <c:pt idx="8">
                  <c:v>517300</c:v>
                </c:pt>
                <c:pt idx="9">
                  <c:v>1084275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14-4C8F-A1EA-84F510E7A542}"/>
            </c:ext>
          </c:extLst>
        </c:ser>
        <c:ser>
          <c:idx val="3"/>
          <c:order val="3"/>
          <c:tx>
            <c:strRef>
              <c:f>'Informe de Ingresos y Utilidad'!$N$1:$N$2</c:f>
              <c:strCache>
                <c:ptCount val="1"/>
                <c:pt idx="0">
                  <c:v>4to Trimestre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'Informe de Ingresos y Utilidad'!$J$3:$J$13</c:f>
              <c:strCache>
                <c:ptCount val="10"/>
                <c:pt idx="0">
                  <c:v>KERSHAW BUILT</c:v>
                </c:pt>
                <c:pt idx="1">
                  <c:v>TEEN &amp; ASOCS.</c:v>
                </c:pt>
                <c:pt idx="2">
                  <c:v>CROMIT 2N</c:v>
                </c:pt>
                <c:pt idx="3">
                  <c:v>GROMIT WARNER</c:v>
                </c:pt>
                <c:pt idx="4">
                  <c:v>ACEREX S.A.</c:v>
                </c:pt>
                <c:pt idx="5">
                  <c:v>WRESTLINGHOUSE</c:v>
                </c:pt>
                <c:pt idx="6">
                  <c:v>VARSET CIA.</c:v>
                </c:pt>
                <c:pt idx="7">
                  <c:v>QUALCOMM</c:v>
                </c:pt>
                <c:pt idx="8">
                  <c:v>LOPEZ HNOS.</c:v>
                </c:pt>
                <c:pt idx="9">
                  <c:v>JP BAUER S.A.</c:v>
                </c:pt>
              </c:strCache>
            </c:strRef>
          </c:cat>
          <c:val>
            <c:numRef>
              <c:f>'Informe de Ingresos y Utilidad'!$N$3:$N$13</c:f>
              <c:numCache>
                <c:formatCode>_-[$$-80A]* #,##0.00_-;\-[$$-80A]* #,##0.00_-;_-[$$-80A]* "-"??_-;_-@_-</c:formatCode>
                <c:ptCount val="10"/>
                <c:pt idx="0">
                  <c:v>599800</c:v>
                </c:pt>
                <c:pt idx="1">
                  <c:v>1380260</c:v>
                </c:pt>
                <c:pt idx="2">
                  <c:v>1380850</c:v>
                </c:pt>
                <c:pt idx="3">
                  <c:v>649450</c:v>
                </c:pt>
                <c:pt idx="4">
                  <c:v>769800</c:v>
                </c:pt>
                <c:pt idx="6">
                  <c:v>490000</c:v>
                </c:pt>
                <c:pt idx="7">
                  <c:v>804210</c:v>
                </c:pt>
                <c:pt idx="8">
                  <c:v>697380</c:v>
                </c:pt>
                <c:pt idx="9">
                  <c:v>186610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14-4C8F-A1EA-84F510E7A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254752"/>
        <c:axId val="448246224"/>
      </c:lineChart>
      <c:catAx>
        <c:axId val="44825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8246224"/>
        <c:crosses val="autoZero"/>
        <c:auto val="1"/>
        <c:lblAlgn val="ctr"/>
        <c:lblOffset val="100"/>
        <c:noMultiLvlLbl val="0"/>
      </c:catAx>
      <c:valAx>
        <c:axId val="4482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80A]* #,##0.00_-;\-[$$-80A]* #,##0.00_-;_-[$$-80A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825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4</xdr:col>
      <xdr:colOff>235857</xdr:colOff>
      <xdr:row>20</xdr:row>
      <xdr:rowOff>9524</xdr:rowOff>
    </xdr:to>
    <xdr:pic>
      <xdr:nvPicPr>
        <xdr:cNvPr id="3" name="2 Imagen" descr="SOC Líderes en Asesoría Financier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283857" cy="17240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</xdr:colOff>
      <xdr:row>8</xdr:row>
      <xdr:rowOff>14287</xdr:rowOff>
    </xdr:from>
    <xdr:to>
      <xdr:col>4</xdr:col>
      <xdr:colOff>214312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7ECB8D-4B28-D149-1900-4DE9D26DD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652462</xdr:colOff>
      <xdr:row>12</xdr:row>
      <xdr:rowOff>176212</xdr:rowOff>
    </xdr:from>
    <xdr:to>
      <xdr:col>9</xdr:col>
      <xdr:colOff>71437</xdr:colOff>
      <xdr:row>27</xdr:row>
      <xdr:rowOff>61912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0EAE46B-980B-4A2D-63EB-DCED7C55A1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504825</xdr:colOff>
      <xdr:row>14</xdr:row>
      <xdr:rowOff>66675</xdr:rowOff>
    </xdr:from>
    <xdr:to>
      <xdr:col>11</xdr:col>
      <xdr:colOff>5444</xdr:colOff>
      <xdr:row>20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Región">
              <a:extLst>
                <a:ext uri="{FF2B5EF4-FFF2-40B4-BE49-F238E27FC236}">
                  <a16:creationId xmlns:a16="http://schemas.microsoft.com/office/drawing/2014/main" id="{D27D46AC-EFEC-C988-C6B5-454F8D5A7C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87325" y="2733675"/>
              <a:ext cx="182744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534866</xdr:colOff>
      <xdr:row>13</xdr:row>
      <xdr:rowOff>81573</xdr:rowOff>
    </xdr:from>
    <xdr:to>
      <xdr:col>16</xdr:col>
      <xdr:colOff>173404</xdr:colOff>
      <xdr:row>27</xdr:row>
      <xdr:rowOff>89388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4AB326-8EA2-6DC6-F904-33CD558A9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139700</xdr:colOff>
      <xdr:row>1</xdr:row>
      <xdr:rowOff>53975</xdr:rowOff>
    </xdr:from>
    <xdr:to>
      <xdr:col>8</xdr:col>
      <xdr:colOff>1470025</xdr:colOff>
      <xdr:row>4</xdr:row>
      <xdr:rowOff>6350</xdr:rowOff>
    </xdr:to>
    <xdr:sp macro="" textlink="">
      <xdr:nvSpPr>
        <xdr:cNvPr id="2" name="1 Llamada ovalad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283450" y="244475"/>
          <a:ext cx="4679950" cy="523875"/>
        </a:xfrm>
        <a:prstGeom prst="wedgeEllipseCallou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Aquí colocar su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1047750</xdr:colOff>
          <xdr:row>1</xdr:row>
          <xdr:rowOff>57150</xdr:rowOff>
        </xdr:from>
        <xdr:to>
          <xdr:col>2</xdr:col>
          <xdr:colOff>1233920</xdr:colOff>
          <xdr:row>3</xdr:row>
          <xdr:rowOff>174625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107950</xdr:colOff>
      <xdr:row>29</xdr:row>
      <xdr:rowOff>161925</xdr:rowOff>
    </xdr:from>
    <xdr:to>
      <xdr:col>9</xdr:col>
      <xdr:colOff>317500</xdr:colOff>
      <xdr:row>36</xdr:row>
      <xdr:rowOff>15875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Región 1">
              <a:extLst>
                <a:ext uri="{FF2B5EF4-FFF2-40B4-BE49-F238E27FC236}">
                  <a16:creationId xmlns:a16="http://schemas.microsoft.com/office/drawing/2014/main" id="{592311B3-3284-4BE9-B498-070204A218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7495" y="6021243"/>
              <a:ext cx="6011141" cy="12682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103187</xdr:colOff>
      <xdr:row>5</xdr:row>
      <xdr:rowOff>176212</xdr:rowOff>
    </xdr:from>
    <xdr:to>
      <xdr:col>8</xdr:col>
      <xdr:colOff>1587499</xdr:colOff>
      <xdr:row>25</xdr:row>
      <xdr:rowOff>174625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C9FE8FE-E572-2A64-2A65-6675565AF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39686</xdr:colOff>
      <xdr:row>36</xdr:row>
      <xdr:rowOff>144462</xdr:rowOff>
    </xdr:from>
    <xdr:to>
      <xdr:col>15</xdr:col>
      <xdr:colOff>15875</xdr:colOff>
      <xdr:row>55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A935F7-2217-D542-7432-D3100D9F84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341310</xdr:colOff>
      <xdr:row>14</xdr:row>
      <xdr:rowOff>128586</xdr:rowOff>
    </xdr:from>
    <xdr:to>
      <xdr:col>15</xdr:col>
      <xdr:colOff>47624</xdr:colOff>
      <xdr:row>34</xdr:row>
      <xdr:rowOff>158749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D2DD5AC-744B-789F-5FDE-DC8E2AC69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4</xdr:col>
      <xdr:colOff>79376</xdr:colOff>
      <xdr:row>26</xdr:row>
      <xdr:rowOff>79375</xdr:rowOff>
    </xdr:from>
    <xdr:ext cx="5889624" cy="56425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E8BF51A1-24E4-9944-35A5-FA0229A67C77}"/>
            </a:ext>
          </a:extLst>
        </xdr:cNvPr>
        <xdr:cNvSpPr txBox="1"/>
      </xdr:nvSpPr>
      <xdr:spPr>
        <a:xfrm>
          <a:off x="6461126" y="5032375"/>
          <a:ext cx="5889624" cy="564257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ES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Botones</a:t>
          </a:r>
          <a:r>
            <a:rPr lang="es-ES" sz="16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para filtrar por regiones las graficas y datos, para tener un mejor analisis de los datos.</a:t>
          </a:r>
          <a:endParaRPr lang="es-ES" sz="16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BAS" refreshedDate="44704.503938773145" createdVersion="7" refreshedVersion="7" minRefreshableVersion="3" recordCount="600" xr:uid="{00F9BC7D-FD1A-4D6E-8923-6C8956C5176B}">
  <cacheSource type="worksheet">
    <worksheetSource name="Tabladatos"/>
  </cacheSource>
  <cacheFields count="9">
    <cacheField name="Compañía" numFmtId="0">
      <sharedItems count="19">
        <s v="ACEREX S.A."/>
        <s v="BANNER TOOLS"/>
        <s v="CROMIT 2N"/>
        <s v="ESTEREN V.B."/>
        <s v="FALCON ENT."/>
        <s v="GROMIT WARNER"/>
        <s v="HILDEBRANDO"/>
        <s v="JP BAUER S.A."/>
        <s v="KERSHAW BUILT"/>
        <s v="LOPEZ HNOS."/>
        <s v="MICROHARD HD"/>
        <s v="NORDICO CIA."/>
        <s v="PERCOM S.A."/>
        <s v="QUALCOMM"/>
        <s v="RESTORE DABO"/>
        <s v="TEEN &amp; ASOCS."/>
        <s v="VARSET CIA."/>
        <s v="WRESTLINGHOUSE"/>
        <s v="ZAPPING  BI"/>
      </sharedItems>
    </cacheField>
    <cacheField name="Región" numFmtId="0">
      <sharedItems count="3">
        <s v="Central"/>
        <s v="Norte"/>
        <s v="Sur "/>
      </sharedItems>
    </cacheField>
    <cacheField name="Año" numFmtId="0">
      <sharedItems containsSemiMixedTypes="0" containsString="0" containsNumber="1" containsInteger="1" minValue="2020" maxValue="2020"/>
    </cacheField>
    <cacheField name="Trimestre" numFmtId="0">
      <sharedItems count="4">
        <s v="4to Trimestre"/>
        <s v="2do Trimestre"/>
        <s v="3er Trimestre"/>
        <s v="1er Trimestre"/>
      </sharedItems>
    </cacheField>
    <cacheField name="Producto" numFmtId="0">
      <sharedItems count="8">
        <s v="Memorias USB"/>
        <s v="Monitores"/>
        <s v="Impresoras"/>
        <s v="Computadoras"/>
        <s v="Escáners"/>
        <s v="Tarjetas Wifi"/>
        <s v="SSD"/>
        <s v="Laptops"/>
      </sharedItems>
    </cacheField>
    <cacheField name="Ingresos" numFmtId="166">
      <sharedItems containsSemiMixedTypes="0" containsString="0" containsNumber="1" containsInteger="1" minValue="27300" maxValue="599800"/>
    </cacheField>
    <cacheField name="Costos" numFmtId="166">
      <sharedItems containsSemiMixedTypes="0" containsString="0" containsNumber="1" minValue="2730" maxValue="479840"/>
    </cacheField>
    <cacheField name="utilidad" numFmtId="166">
      <sharedItems containsSemiMixedTypes="0" containsString="0" containsNumber="1" minValue="5460" maxValue="539820"/>
    </cacheField>
    <cacheField name="Margen" numFmtId="0" formula="utilidad /Ingresos" databaseField="0"/>
  </cacheFields>
  <extLst>
    <ext xmlns:x14="http://schemas.microsoft.com/office/spreadsheetml/2009/9/main" uri="{725AE2AE-9491-48be-B2B4-4EB974FC3084}">
      <x14:pivotCacheDefinition pivotCacheId="21463978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x v="0"/>
    <x v="0"/>
    <n v="2020"/>
    <x v="0"/>
    <x v="0"/>
    <n v="170000"/>
    <n v="136000"/>
    <n v="34000"/>
  </r>
  <r>
    <x v="0"/>
    <x v="1"/>
    <n v="2020"/>
    <x v="1"/>
    <x v="1"/>
    <n v="120460"/>
    <n v="96368"/>
    <n v="24092"/>
  </r>
  <r>
    <x v="0"/>
    <x v="1"/>
    <n v="2020"/>
    <x v="2"/>
    <x v="2"/>
    <n v="170000"/>
    <n v="118999.99999999999"/>
    <n v="51000.000000000015"/>
  </r>
  <r>
    <x v="0"/>
    <x v="0"/>
    <n v="2020"/>
    <x v="2"/>
    <x v="3"/>
    <n v="120460"/>
    <n v="12046"/>
    <n v="108414"/>
  </r>
  <r>
    <x v="0"/>
    <x v="0"/>
    <n v="2020"/>
    <x v="0"/>
    <x v="4"/>
    <n v="599800"/>
    <n v="119960"/>
    <n v="479840"/>
  </r>
  <r>
    <x v="0"/>
    <x v="0"/>
    <n v="2020"/>
    <x v="3"/>
    <x v="5"/>
    <n v="170000"/>
    <n v="136000"/>
    <n v="34000"/>
  </r>
  <r>
    <x v="0"/>
    <x v="0"/>
    <n v="2020"/>
    <x v="2"/>
    <x v="6"/>
    <n v="228990"/>
    <n v="22899"/>
    <n v="206091"/>
  </r>
  <r>
    <x v="0"/>
    <x v="2"/>
    <n v="2020"/>
    <x v="0"/>
    <x v="1"/>
    <n v="66150"/>
    <n v="9922.5"/>
    <n v="56227.5"/>
  </r>
  <r>
    <x v="0"/>
    <x v="1"/>
    <n v="2020"/>
    <x v="1"/>
    <x v="4"/>
    <n v="490000"/>
    <n v="98000"/>
    <n v="392000"/>
  </r>
  <r>
    <x v="0"/>
    <x v="1"/>
    <n v="2020"/>
    <x v="1"/>
    <x v="6"/>
    <n v="170000"/>
    <n v="136000"/>
    <n v="34000"/>
  </r>
  <r>
    <x v="0"/>
    <x v="2"/>
    <n v="2020"/>
    <x v="1"/>
    <x v="4"/>
    <n v="415765"/>
    <n v="249459"/>
    <n v="166306"/>
  </r>
  <r>
    <x v="0"/>
    <x v="1"/>
    <n v="2020"/>
    <x v="3"/>
    <x v="0"/>
    <n v="27300"/>
    <n v="19110"/>
    <n v="8190"/>
  </r>
  <r>
    <x v="0"/>
    <x v="1"/>
    <n v="2020"/>
    <x v="1"/>
    <x v="3"/>
    <n v="66150"/>
    <n v="6615"/>
    <n v="59535"/>
  </r>
  <r>
    <x v="0"/>
    <x v="0"/>
    <n v="2020"/>
    <x v="1"/>
    <x v="2"/>
    <n v="599800"/>
    <n v="359880"/>
    <n v="239920"/>
  </r>
  <r>
    <x v="0"/>
    <x v="2"/>
    <n v="2020"/>
    <x v="1"/>
    <x v="7"/>
    <n v="365285"/>
    <n v="255699.49999999997"/>
    <n v="109585.50000000003"/>
  </r>
  <r>
    <x v="0"/>
    <x v="1"/>
    <n v="2020"/>
    <x v="1"/>
    <x v="4"/>
    <n v="490000"/>
    <n v="73500"/>
    <n v="416500"/>
  </r>
  <r>
    <x v="0"/>
    <x v="2"/>
    <n v="2020"/>
    <x v="1"/>
    <x v="5"/>
    <n v="490000"/>
    <n v="122500"/>
    <n v="367500"/>
  </r>
  <r>
    <x v="0"/>
    <x v="0"/>
    <n v="2020"/>
    <x v="2"/>
    <x v="5"/>
    <n v="415765"/>
    <n v="166306"/>
    <n v="249459"/>
  </r>
  <r>
    <x v="0"/>
    <x v="0"/>
    <n v="2020"/>
    <x v="3"/>
    <x v="6"/>
    <n v="228990"/>
    <n v="68697"/>
    <n v="160293"/>
  </r>
  <r>
    <x v="0"/>
    <x v="0"/>
    <n v="2020"/>
    <x v="2"/>
    <x v="2"/>
    <n v="170000"/>
    <n v="118999.99999999999"/>
    <n v="51000.000000000015"/>
  </r>
  <r>
    <x v="0"/>
    <x v="1"/>
    <n v="2020"/>
    <x v="1"/>
    <x v="7"/>
    <n v="490000"/>
    <n v="196000"/>
    <n v="294000"/>
  </r>
  <r>
    <x v="0"/>
    <x v="2"/>
    <n v="2020"/>
    <x v="3"/>
    <x v="3"/>
    <n v="66150"/>
    <n v="9922.5"/>
    <n v="56227.5"/>
  </r>
  <r>
    <x v="0"/>
    <x v="2"/>
    <n v="2020"/>
    <x v="3"/>
    <x v="5"/>
    <n v="170000"/>
    <n v="102000"/>
    <n v="68000"/>
  </r>
  <r>
    <x v="0"/>
    <x v="0"/>
    <n v="2020"/>
    <x v="3"/>
    <x v="1"/>
    <n v="415765"/>
    <n v="41576.5"/>
    <n v="374188.5"/>
  </r>
  <r>
    <x v="0"/>
    <x v="0"/>
    <n v="2020"/>
    <x v="2"/>
    <x v="5"/>
    <n v="415765"/>
    <n v="291035.5"/>
    <n v="124729.5"/>
  </r>
  <r>
    <x v="0"/>
    <x v="0"/>
    <n v="2020"/>
    <x v="3"/>
    <x v="5"/>
    <n v="365285"/>
    <n v="182642.5"/>
    <n v="182642.5"/>
  </r>
  <r>
    <x v="0"/>
    <x v="2"/>
    <n v="2020"/>
    <x v="0"/>
    <x v="2"/>
    <n v="170000"/>
    <n v="102000"/>
    <n v="68000"/>
  </r>
  <r>
    <x v="0"/>
    <x v="1"/>
    <n v="2020"/>
    <x v="2"/>
    <x v="2"/>
    <n v="599800"/>
    <n v="419860"/>
    <n v="179940"/>
  </r>
  <r>
    <x v="0"/>
    <x v="2"/>
    <n v="2020"/>
    <x v="1"/>
    <x v="0"/>
    <n v="170000"/>
    <n v="102000"/>
    <n v="68000"/>
  </r>
  <r>
    <x v="1"/>
    <x v="2"/>
    <n v="2020"/>
    <x v="0"/>
    <x v="3"/>
    <n v="66150"/>
    <n v="52920"/>
    <n v="13230"/>
  </r>
  <r>
    <x v="1"/>
    <x v="1"/>
    <n v="2020"/>
    <x v="3"/>
    <x v="5"/>
    <n v="228990"/>
    <n v="114495"/>
    <n v="114495"/>
  </r>
  <r>
    <x v="1"/>
    <x v="2"/>
    <n v="2020"/>
    <x v="2"/>
    <x v="3"/>
    <n v="300000"/>
    <n v="210000"/>
    <n v="90000"/>
  </r>
  <r>
    <x v="1"/>
    <x v="0"/>
    <n v="2020"/>
    <x v="3"/>
    <x v="6"/>
    <n v="120460"/>
    <n v="60230"/>
    <n v="60230"/>
  </r>
  <r>
    <x v="1"/>
    <x v="1"/>
    <n v="2020"/>
    <x v="3"/>
    <x v="3"/>
    <n v="599800"/>
    <n v="419860"/>
    <n v="179940"/>
  </r>
  <r>
    <x v="1"/>
    <x v="1"/>
    <n v="2020"/>
    <x v="0"/>
    <x v="6"/>
    <n v="490000"/>
    <n v="73500"/>
    <n v="416500"/>
  </r>
  <r>
    <x v="1"/>
    <x v="2"/>
    <n v="2020"/>
    <x v="1"/>
    <x v="3"/>
    <n v="300000"/>
    <n v="60000"/>
    <n v="240000"/>
  </r>
  <r>
    <x v="1"/>
    <x v="0"/>
    <n v="2020"/>
    <x v="2"/>
    <x v="5"/>
    <n v="365285"/>
    <n v="255699.49999999997"/>
    <n v="109585.50000000003"/>
  </r>
  <r>
    <x v="1"/>
    <x v="1"/>
    <n v="2020"/>
    <x v="2"/>
    <x v="6"/>
    <n v="66150"/>
    <n v="13230"/>
    <n v="52920"/>
  </r>
  <r>
    <x v="1"/>
    <x v="2"/>
    <n v="2020"/>
    <x v="3"/>
    <x v="3"/>
    <n v="27300"/>
    <n v="4095"/>
    <n v="23205"/>
  </r>
  <r>
    <x v="1"/>
    <x v="2"/>
    <n v="2020"/>
    <x v="0"/>
    <x v="3"/>
    <n v="415765"/>
    <n v="41576.5"/>
    <n v="374188.5"/>
  </r>
  <r>
    <x v="1"/>
    <x v="0"/>
    <n v="2020"/>
    <x v="0"/>
    <x v="5"/>
    <n v="415765"/>
    <n v="291035.5"/>
    <n v="124729.5"/>
  </r>
  <r>
    <x v="1"/>
    <x v="1"/>
    <n v="2020"/>
    <x v="2"/>
    <x v="7"/>
    <n v="415765"/>
    <n v="83153"/>
    <n v="332612"/>
  </r>
  <r>
    <x v="1"/>
    <x v="0"/>
    <n v="2020"/>
    <x v="1"/>
    <x v="7"/>
    <n v="170000"/>
    <n v="118999.99999999999"/>
    <n v="51000.000000000015"/>
  </r>
  <r>
    <x v="1"/>
    <x v="1"/>
    <n v="2020"/>
    <x v="1"/>
    <x v="5"/>
    <n v="365285"/>
    <n v="255699.49999999997"/>
    <n v="109585.50000000003"/>
  </r>
  <r>
    <x v="1"/>
    <x v="1"/>
    <n v="2020"/>
    <x v="0"/>
    <x v="7"/>
    <n v="535990"/>
    <n v="428792"/>
    <n v="107198"/>
  </r>
  <r>
    <x v="1"/>
    <x v="2"/>
    <n v="2020"/>
    <x v="1"/>
    <x v="0"/>
    <n v="365285"/>
    <n v="255699.49999999997"/>
    <n v="109585.50000000003"/>
  </r>
  <r>
    <x v="1"/>
    <x v="2"/>
    <n v="2020"/>
    <x v="0"/>
    <x v="5"/>
    <n v="535990"/>
    <n v="107198"/>
    <n v="428792"/>
  </r>
  <r>
    <x v="1"/>
    <x v="1"/>
    <n v="2020"/>
    <x v="0"/>
    <x v="0"/>
    <n v="300000"/>
    <n v="150000"/>
    <n v="150000"/>
  </r>
  <r>
    <x v="1"/>
    <x v="0"/>
    <n v="2020"/>
    <x v="0"/>
    <x v="0"/>
    <n v="95945"/>
    <n v="67161.5"/>
    <n v="28783.5"/>
  </r>
  <r>
    <x v="1"/>
    <x v="0"/>
    <n v="2020"/>
    <x v="2"/>
    <x v="6"/>
    <n v="95945"/>
    <n v="76756"/>
    <n v="19189"/>
  </r>
  <r>
    <x v="1"/>
    <x v="1"/>
    <n v="2020"/>
    <x v="3"/>
    <x v="5"/>
    <n v="120460"/>
    <n v="18069"/>
    <n v="102391"/>
  </r>
  <r>
    <x v="2"/>
    <x v="0"/>
    <n v="2020"/>
    <x v="0"/>
    <x v="5"/>
    <n v="415765"/>
    <n v="41576.5"/>
    <n v="374188.5"/>
  </r>
  <r>
    <x v="2"/>
    <x v="1"/>
    <n v="2020"/>
    <x v="1"/>
    <x v="0"/>
    <n v="365285"/>
    <n v="219171"/>
    <n v="146114"/>
  </r>
  <r>
    <x v="2"/>
    <x v="2"/>
    <n v="2020"/>
    <x v="1"/>
    <x v="5"/>
    <n v="599800"/>
    <n v="179940"/>
    <n v="419860"/>
  </r>
  <r>
    <x v="2"/>
    <x v="2"/>
    <n v="2020"/>
    <x v="0"/>
    <x v="3"/>
    <n v="95945"/>
    <n v="47972.5"/>
    <n v="47972.5"/>
  </r>
  <r>
    <x v="2"/>
    <x v="2"/>
    <n v="2020"/>
    <x v="0"/>
    <x v="6"/>
    <n v="228990"/>
    <n v="91596"/>
    <n v="137394"/>
  </r>
  <r>
    <x v="2"/>
    <x v="0"/>
    <n v="2020"/>
    <x v="1"/>
    <x v="6"/>
    <n v="300000"/>
    <n v="210000"/>
    <n v="90000"/>
  </r>
  <r>
    <x v="2"/>
    <x v="2"/>
    <n v="2020"/>
    <x v="2"/>
    <x v="3"/>
    <n v="170000"/>
    <n v="25500"/>
    <n v="144500"/>
  </r>
  <r>
    <x v="2"/>
    <x v="1"/>
    <n v="2020"/>
    <x v="0"/>
    <x v="2"/>
    <n v="120460"/>
    <n v="12046"/>
    <n v="108414"/>
  </r>
  <r>
    <x v="2"/>
    <x v="1"/>
    <n v="2020"/>
    <x v="0"/>
    <x v="5"/>
    <n v="599800"/>
    <n v="239920"/>
    <n v="359880"/>
  </r>
  <r>
    <x v="2"/>
    <x v="0"/>
    <n v="2020"/>
    <x v="2"/>
    <x v="7"/>
    <n v="120460"/>
    <n v="12046"/>
    <n v="108414"/>
  </r>
  <r>
    <x v="2"/>
    <x v="1"/>
    <n v="2020"/>
    <x v="1"/>
    <x v="1"/>
    <n v="300000"/>
    <n v="150000"/>
    <n v="150000"/>
  </r>
  <r>
    <x v="2"/>
    <x v="0"/>
    <n v="2020"/>
    <x v="3"/>
    <x v="6"/>
    <n v="365285"/>
    <n v="146114"/>
    <n v="219171"/>
  </r>
  <r>
    <x v="2"/>
    <x v="0"/>
    <n v="2020"/>
    <x v="1"/>
    <x v="3"/>
    <n v="599800"/>
    <n v="59980"/>
    <n v="539820"/>
  </r>
  <r>
    <x v="2"/>
    <x v="0"/>
    <n v="2020"/>
    <x v="3"/>
    <x v="1"/>
    <n v="95945"/>
    <n v="67161.5"/>
    <n v="28783.5"/>
  </r>
  <r>
    <x v="2"/>
    <x v="2"/>
    <n v="2020"/>
    <x v="3"/>
    <x v="5"/>
    <n v="300000"/>
    <n v="60000"/>
    <n v="240000"/>
  </r>
  <r>
    <x v="2"/>
    <x v="0"/>
    <n v="2020"/>
    <x v="2"/>
    <x v="4"/>
    <n v="599800"/>
    <n v="89970"/>
    <n v="509830"/>
  </r>
  <r>
    <x v="2"/>
    <x v="1"/>
    <n v="2020"/>
    <x v="3"/>
    <x v="0"/>
    <n v="27300"/>
    <n v="16380"/>
    <n v="10920"/>
  </r>
  <r>
    <x v="2"/>
    <x v="0"/>
    <n v="2020"/>
    <x v="1"/>
    <x v="0"/>
    <n v="599800"/>
    <n v="359880"/>
    <n v="239920"/>
  </r>
  <r>
    <x v="2"/>
    <x v="2"/>
    <n v="2020"/>
    <x v="2"/>
    <x v="4"/>
    <n v="490000"/>
    <n v="147000"/>
    <n v="343000"/>
  </r>
  <r>
    <x v="2"/>
    <x v="1"/>
    <n v="2020"/>
    <x v="0"/>
    <x v="6"/>
    <n v="228990"/>
    <n v="160293"/>
    <n v="68697"/>
  </r>
  <r>
    <x v="2"/>
    <x v="0"/>
    <n v="2020"/>
    <x v="0"/>
    <x v="6"/>
    <n v="599800"/>
    <n v="359880"/>
    <n v="239920"/>
  </r>
  <r>
    <x v="2"/>
    <x v="2"/>
    <n v="2020"/>
    <x v="2"/>
    <x v="2"/>
    <n v="300000"/>
    <n v="210000"/>
    <n v="90000"/>
  </r>
  <r>
    <x v="2"/>
    <x v="0"/>
    <n v="2020"/>
    <x v="0"/>
    <x v="6"/>
    <n v="365285"/>
    <n v="91321.25"/>
    <n v="273963.75"/>
  </r>
  <r>
    <x v="2"/>
    <x v="0"/>
    <n v="2020"/>
    <x v="1"/>
    <x v="5"/>
    <n v="27300"/>
    <n v="8190"/>
    <n v="19110"/>
  </r>
  <r>
    <x v="2"/>
    <x v="2"/>
    <n v="2020"/>
    <x v="1"/>
    <x v="7"/>
    <n v="170000"/>
    <n v="68000"/>
    <n v="102000"/>
  </r>
  <r>
    <x v="2"/>
    <x v="1"/>
    <n v="2020"/>
    <x v="0"/>
    <x v="2"/>
    <n v="599800"/>
    <n v="59980"/>
    <n v="539820"/>
  </r>
  <r>
    <x v="2"/>
    <x v="0"/>
    <n v="2020"/>
    <x v="2"/>
    <x v="3"/>
    <n v="535990"/>
    <n v="267995"/>
    <n v="267995"/>
  </r>
  <r>
    <x v="2"/>
    <x v="2"/>
    <n v="2020"/>
    <x v="0"/>
    <x v="3"/>
    <n v="535990"/>
    <n v="375193"/>
    <n v="160797"/>
  </r>
  <r>
    <x v="2"/>
    <x v="2"/>
    <n v="2020"/>
    <x v="1"/>
    <x v="6"/>
    <n v="170000"/>
    <n v="85000"/>
    <n v="85000"/>
  </r>
  <r>
    <x v="2"/>
    <x v="1"/>
    <n v="2020"/>
    <x v="1"/>
    <x v="0"/>
    <n v="300000"/>
    <n v="210000"/>
    <n v="90000"/>
  </r>
  <r>
    <x v="2"/>
    <x v="1"/>
    <n v="2020"/>
    <x v="0"/>
    <x v="1"/>
    <n v="66150"/>
    <n v="16537.5"/>
    <n v="49612.5"/>
  </r>
  <r>
    <x v="2"/>
    <x v="2"/>
    <n v="2020"/>
    <x v="3"/>
    <x v="2"/>
    <n v="66150"/>
    <n v="13230"/>
    <n v="52920"/>
  </r>
  <r>
    <x v="2"/>
    <x v="1"/>
    <n v="2020"/>
    <x v="0"/>
    <x v="5"/>
    <n v="27300"/>
    <n v="6825"/>
    <n v="20475"/>
  </r>
  <r>
    <x v="3"/>
    <x v="1"/>
    <n v="2020"/>
    <x v="1"/>
    <x v="7"/>
    <n v="490000"/>
    <n v="392000"/>
    <n v="98000"/>
  </r>
  <r>
    <x v="3"/>
    <x v="2"/>
    <n v="2020"/>
    <x v="2"/>
    <x v="0"/>
    <n v="300000"/>
    <n v="45000"/>
    <n v="255000"/>
  </r>
  <r>
    <x v="3"/>
    <x v="0"/>
    <n v="2020"/>
    <x v="2"/>
    <x v="7"/>
    <n v="300000"/>
    <n v="30000"/>
    <n v="270000"/>
  </r>
  <r>
    <x v="3"/>
    <x v="0"/>
    <n v="2020"/>
    <x v="2"/>
    <x v="7"/>
    <n v="300000"/>
    <n v="240000"/>
    <n v="60000"/>
  </r>
  <r>
    <x v="3"/>
    <x v="2"/>
    <n v="2020"/>
    <x v="0"/>
    <x v="4"/>
    <n v="599800"/>
    <n v="59980"/>
    <n v="539820"/>
  </r>
  <r>
    <x v="3"/>
    <x v="2"/>
    <n v="2020"/>
    <x v="3"/>
    <x v="6"/>
    <n v="300000"/>
    <n v="75000"/>
    <n v="225000"/>
  </r>
  <r>
    <x v="3"/>
    <x v="0"/>
    <n v="2020"/>
    <x v="1"/>
    <x v="1"/>
    <n v="228990"/>
    <n v="160293"/>
    <n v="68697"/>
  </r>
  <r>
    <x v="3"/>
    <x v="0"/>
    <n v="2020"/>
    <x v="1"/>
    <x v="0"/>
    <n v="228990"/>
    <n v="68697"/>
    <n v="160293"/>
  </r>
  <r>
    <x v="3"/>
    <x v="2"/>
    <n v="2020"/>
    <x v="1"/>
    <x v="0"/>
    <n v="66150"/>
    <n v="6615"/>
    <n v="59535"/>
  </r>
  <r>
    <x v="3"/>
    <x v="1"/>
    <n v="2020"/>
    <x v="1"/>
    <x v="5"/>
    <n v="599800"/>
    <n v="359880"/>
    <n v="239920"/>
  </r>
  <r>
    <x v="3"/>
    <x v="0"/>
    <n v="2020"/>
    <x v="1"/>
    <x v="0"/>
    <n v="120460"/>
    <n v="36138"/>
    <n v="84322"/>
  </r>
  <r>
    <x v="3"/>
    <x v="0"/>
    <n v="2020"/>
    <x v="0"/>
    <x v="5"/>
    <n v="27300"/>
    <n v="6825"/>
    <n v="20475"/>
  </r>
  <r>
    <x v="3"/>
    <x v="0"/>
    <n v="2020"/>
    <x v="1"/>
    <x v="7"/>
    <n v="490000"/>
    <n v="392000"/>
    <n v="98000"/>
  </r>
  <r>
    <x v="3"/>
    <x v="0"/>
    <n v="2020"/>
    <x v="2"/>
    <x v="4"/>
    <n v="120460"/>
    <n v="30115"/>
    <n v="90345"/>
  </r>
  <r>
    <x v="3"/>
    <x v="2"/>
    <n v="2020"/>
    <x v="3"/>
    <x v="2"/>
    <n v="535990"/>
    <n v="107198"/>
    <n v="428792"/>
  </r>
  <r>
    <x v="3"/>
    <x v="0"/>
    <n v="2020"/>
    <x v="2"/>
    <x v="0"/>
    <n v="95945"/>
    <n v="19189"/>
    <n v="76756"/>
  </r>
  <r>
    <x v="3"/>
    <x v="2"/>
    <n v="2020"/>
    <x v="2"/>
    <x v="0"/>
    <n v="228990"/>
    <n v="68697"/>
    <n v="160293"/>
  </r>
  <r>
    <x v="3"/>
    <x v="2"/>
    <n v="2020"/>
    <x v="3"/>
    <x v="7"/>
    <n v="66150"/>
    <n v="9922.5"/>
    <n v="56227.5"/>
  </r>
  <r>
    <x v="3"/>
    <x v="2"/>
    <n v="2020"/>
    <x v="0"/>
    <x v="4"/>
    <n v="415765"/>
    <n v="166306"/>
    <n v="249459"/>
  </r>
  <r>
    <x v="3"/>
    <x v="1"/>
    <n v="2020"/>
    <x v="3"/>
    <x v="3"/>
    <n v="300000"/>
    <n v="75000"/>
    <n v="225000"/>
  </r>
  <r>
    <x v="3"/>
    <x v="2"/>
    <n v="2020"/>
    <x v="3"/>
    <x v="5"/>
    <n v="365285"/>
    <n v="146114"/>
    <n v="219171"/>
  </r>
  <r>
    <x v="3"/>
    <x v="1"/>
    <n v="2020"/>
    <x v="3"/>
    <x v="5"/>
    <n v="535990"/>
    <n v="321594"/>
    <n v="214396"/>
  </r>
  <r>
    <x v="3"/>
    <x v="1"/>
    <n v="2020"/>
    <x v="1"/>
    <x v="2"/>
    <n v="365285"/>
    <n v="109585.5"/>
    <n v="255699.5"/>
  </r>
  <r>
    <x v="3"/>
    <x v="2"/>
    <n v="2020"/>
    <x v="0"/>
    <x v="2"/>
    <n v="535990"/>
    <n v="321594"/>
    <n v="214396"/>
  </r>
  <r>
    <x v="3"/>
    <x v="2"/>
    <n v="2020"/>
    <x v="3"/>
    <x v="2"/>
    <n v="66150"/>
    <n v="19845"/>
    <n v="46305"/>
  </r>
  <r>
    <x v="3"/>
    <x v="1"/>
    <n v="2020"/>
    <x v="2"/>
    <x v="6"/>
    <n v="300000"/>
    <n v="180000"/>
    <n v="120000"/>
  </r>
  <r>
    <x v="3"/>
    <x v="0"/>
    <n v="2020"/>
    <x v="0"/>
    <x v="3"/>
    <n v="228990"/>
    <n v="137394"/>
    <n v="91596"/>
  </r>
  <r>
    <x v="3"/>
    <x v="0"/>
    <n v="2020"/>
    <x v="3"/>
    <x v="2"/>
    <n v="120460"/>
    <n v="12046"/>
    <n v="108414"/>
  </r>
  <r>
    <x v="3"/>
    <x v="2"/>
    <n v="2020"/>
    <x v="2"/>
    <x v="5"/>
    <n v="95945"/>
    <n v="9594.5"/>
    <n v="86350.5"/>
  </r>
  <r>
    <x v="3"/>
    <x v="0"/>
    <n v="2020"/>
    <x v="2"/>
    <x v="6"/>
    <n v="300000"/>
    <n v="60000"/>
    <n v="240000"/>
  </r>
  <r>
    <x v="3"/>
    <x v="2"/>
    <n v="2020"/>
    <x v="0"/>
    <x v="5"/>
    <n v="599800"/>
    <n v="479840"/>
    <n v="119960"/>
  </r>
  <r>
    <x v="3"/>
    <x v="2"/>
    <n v="2020"/>
    <x v="1"/>
    <x v="2"/>
    <n v="120460"/>
    <n v="30115"/>
    <n v="90345"/>
  </r>
  <r>
    <x v="3"/>
    <x v="1"/>
    <n v="2020"/>
    <x v="2"/>
    <x v="7"/>
    <n v="300000"/>
    <n v="240000"/>
    <n v="60000"/>
  </r>
  <r>
    <x v="3"/>
    <x v="2"/>
    <n v="2020"/>
    <x v="0"/>
    <x v="0"/>
    <n v="415765"/>
    <n v="291035.5"/>
    <n v="124729.5"/>
  </r>
  <r>
    <x v="3"/>
    <x v="1"/>
    <n v="2020"/>
    <x v="0"/>
    <x v="3"/>
    <n v="415765"/>
    <n v="207882.5"/>
    <n v="207882.5"/>
  </r>
  <r>
    <x v="3"/>
    <x v="2"/>
    <n v="2020"/>
    <x v="2"/>
    <x v="2"/>
    <n v="228990"/>
    <n v="68697"/>
    <n v="160293"/>
  </r>
  <r>
    <x v="3"/>
    <x v="1"/>
    <n v="2020"/>
    <x v="2"/>
    <x v="5"/>
    <n v="365285"/>
    <n v="54792.75"/>
    <n v="310492.25"/>
  </r>
  <r>
    <x v="3"/>
    <x v="2"/>
    <n v="2020"/>
    <x v="0"/>
    <x v="7"/>
    <n v="535990"/>
    <n v="80398.5"/>
    <n v="455591.5"/>
  </r>
  <r>
    <x v="3"/>
    <x v="1"/>
    <n v="2020"/>
    <x v="1"/>
    <x v="7"/>
    <n v="95945"/>
    <n v="28783.5"/>
    <n v="67161.5"/>
  </r>
  <r>
    <x v="3"/>
    <x v="2"/>
    <n v="2020"/>
    <x v="0"/>
    <x v="6"/>
    <n v="365285"/>
    <n v="146114"/>
    <n v="219171"/>
  </r>
  <r>
    <x v="3"/>
    <x v="2"/>
    <n v="2020"/>
    <x v="1"/>
    <x v="6"/>
    <n v="120460"/>
    <n v="48184"/>
    <n v="72276"/>
  </r>
  <r>
    <x v="3"/>
    <x v="1"/>
    <n v="2020"/>
    <x v="2"/>
    <x v="6"/>
    <n v="170000"/>
    <n v="51000"/>
    <n v="119000"/>
  </r>
  <r>
    <x v="3"/>
    <x v="2"/>
    <n v="2020"/>
    <x v="3"/>
    <x v="0"/>
    <n v="95945"/>
    <n v="14391.75"/>
    <n v="81553.25"/>
  </r>
  <r>
    <x v="3"/>
    <x v="2"/>
    <n v="2020"/>
    <x v="0"/>
    <x v="4"/>
    <n v="490000"/>
    <n v="147000"/>
    <n v="343000"/>
  </r>
  <r>
    <x v="3"/>
    <x v="1"/>
    <n v="2020"/>
    <x v="0"/>
    <x v="6"/>
    <n v="300000"/>
    <n v="30000"/>
    <n v="270000"/>
  </r>
  <r>
    <x v="3"/>
    <x v="1"/>
    <n v="2020"/>
    <x v="2"/>
    <x v="4"/>
    <n v="95945"/>
    <n v="38378"/>
    <n v="57567"/>
  </r>
  <r>
    <x v="3"/>
    <x v="0"/>
    <n v="2020"/>
    <x v="0"/>
    <x v="2"/>
    <n v="95945"/>
    <n v="38378"/>
    <n v="57567"/>
  </r>
  <r>
    <x v="3"/>
    <x v="2"/>
    <n v="2020"/>
    <x v="2"/>
    <x v="3"/>
    <n v="170000"/>
    <n v="42500"/>
    <n v="127500"/>
  </r>
  <r>
    <x v="4"/>
    <x v="1"/>
    <n v="2020"/>
    <x v="1"/>
    <x v="5"/>
    <n v="170000"/>
    <n v="17000"/>
    <n v="153000"/>
  </r>
  <r>
    <x v="4"/>
    <x v="1"/>
    <n v="2020"/>
    <x v="0"/>
    <x v="7"/>
    <n v="27300"/>
    <n v="10920"/>
    <n v="16380"/>
  </r>
  <r>
    <x v="4"/>
    <x v="2"/>
    <n v="2020"/>
    <x v="2"/>
    <x v="2"/>
    <n v="27300"/>
    <n v="6825"/>
    <n v="20475"/>
  </r>
  <r>
    <x v="4"/>
    <x v="1"/>
    <n v="2020"/>
    <x v="0"/>
    <x v="3"/>
    <n v="66150"/>
    <n v="9922.5"/>
    <n v="56227.5"/>
  </r>
  <r>
    <x v="4"/>
    <x v="1"/>
    <n v="2020"/>
    <x v="0"/>
    <x v="2"/>
    <n v="66150"/>
    <n v="26460"/>
    <n v="39690"/>
  </r>
  <r>
    <x v="4"/>
    <x v="1"/>
    <n v="2020"/>
    <x v="0"/>
    <x v="1"/>
    <n v="95945"/>
    <n v="57567"/>
    <n v="38378"/>
  </r>
  <r>
    <x v="4"/>
    <x v="1"/>
    <n v="2020"/>
    <x v="1"/>
    <x v="7"/>
    <n v="490000"/>
    <n v="49000"/>
    <n v="441000"/>
  </r>
  <r>
    <x v="4"/>
    <x v="0"/>
    <n v="2020"/>
    <x v="1"/>
    <x v="2"/>
    <n v="95945"/>
    <n v="19189"/>
    <n v="76756"/>
  </r>
  <r>
    <x v="4"/>
    <x v="2"/>
    <n v="2020"/>
    <x v="3"/>
    <x v="3"/>
    <n v="300000"/>
    <n v="120000"/>
    <n v="180000"/>
  </r>
  <r>
    <x v="4"/>
    <x v="0"/>
    <n v="2020"/>
    <x v="0"/>
    <x v="5"/>
    <n v="120460"/>
    <n v="18069"/>
    <n v="102391"/>
  </r>
  <r>
    <x v="4"/>
    <x v="2"/>
    <n v="2020"/>
    <x v="2"/>
    <x v="7"/>
    <n v="120460"/>
    <n v="12046"/>
    <n v="108414"/>
  </r>
  <r>
    <x v="4"/>
    <x v="2"/>
    <n v="2020"/>
    <x v="1"/>
    <x v="7"/>
    <n v="170000"/>
    <n v="42500"/>
    <n v="127500"/>
  </r>
  <r>
    <x v="4"/>
    <x v="1"/>
    <n v="2020"/>
    <x v="3"/>
    <x v="0"/>
    <n v="170000"/>
    <n v="51000"/>
    <n v="119000"/>
  </r>
  <r>
    <x v="4"/>
    <x v="1"/>
    <n v="2020"/>
    <x v="2"/>
    <x v="0"/>
    <n v="66150"/>
    <n v="19845"/>
    <n v="46305"/>
  </r>
  <r>
    <x v="4"/>
    <x v="2"/>
    <n v="2020"/>
    <x v="1"/>
    <x v="3"/>
    <n v="365285"/>
    <n v="73057"/>
    <n v="292228"/>
  </r>
  <r>
    <x v="4"/>
    <x v="1"/>
    <n v="2020"/>
    <x v="2"/>
    <x v="3"/>
    <n v="27300"/>
    <n v="16380"/>
    <n v="10920"/>
  </r>
  <r>
    <x v="4"/>
    <x v="2"/>
    <n v="2020"/>
    <x v="1"/>
    <x v="2"/>
    <n v="27300"/>
    <n v="13650"/>
    <n v="13650"/>
  </r>
  <r>
    <x v="4"/>
    <x v="1"/>
    <n v="2020"/>
    <x v="0"/>
    <x v="0"/>
    <n v="170000"/>
    <n v="51000"/>
    <n v="119000"/>
  </r>
  <r>
    <x v="4"/>
    <x v="2"/>
    <n v="2020"/>
    <x v="0"/>
    <x v="0"/>
    <n v="170000"/>
    <n v="34000"/>
    <n v="136000"/>
  </r>
  <r>
    <x v="4"/>
    <x v="0"/>
    <n v="2020"/>
    <x v="0"/>
    <x v="1"/>
    <n v="490000"/>
    <n v="294000"/>
    <n v="196000"/>
  </r>
  <r>
    <x v="4"/>
    <x v="1"/>
    <n v="2020"/>
    <x v="3"/>
    <x v="3"/>
    <n v="599800"/>
    <n v="359880"/>
    <n v="239920"/>
  </r>
  <r>
    <x v="4"/>
    <x v="0"/>
    <n v="2020"/>
    <x v="3"/>
    <x v="6"/>
    <n v="27300"/>
    <n v="2730"/>
    <n v="24570"/>
  </r>
  <r>
    <x v="4"/>
    <x v="1"/>
    <n v="2020"/>
    <x v="2"/>
    <x v="0"/>
    <n v="599800"/>
    <n v="179940"/>
    <n v="419860"/>
  </r>
  <r>
    <x v="4"/>
    <x v="1"/>
    <n v="2020"/>
    <x v="2"/>
    <x v="4"/>
    <n v="27300"/>
    <n v="5460"/>
    <n v="21840"/>
  </r>
  <r>
    <x v="4"/>
    <x v="1"/>
    <n v="2020"/>
    <x v="1"/>
    <x v="0"/>
    <n v="599800"/>
    <n v="119960"/>
    <n v="479840"/>
  </r>
  <r>
    <x v="4"/>
    <x v="0"/>
    <n v="2020"/>
    <x v="3"/>
    <x v="5"/>
    <n v="490000"/>
    <n v="392000"/>
    <n v="98000"/>
  </r>
  <r>
    <x v="4"/>
    <x v="1"/>
    <n v="2020"/>
    <x v="2"/>
    <x v="1"/>
    <n v="170000"/>
    <n v="85000"/>
    <n v="85000"/>
  </r>
  <r>
    <x v="4"/>
    <x v="1"/>
    <n v="2020"/>
    <x v="1"/>
    <x v="5"/>
    <n v="415765"/>
    <n v="41576.5"/>
    <n v="374188.5"/>
  </r>
  <r>
    <x v="4"/>
    <x v="0"/>
    <n v="2020"/>
    <x v="3"/>
    <x v="7"/>
    <n v="228990"/>
    <n v="91596"/>
    <n v="137394"/>
  </r>
  <r>
    <x v="4"/>
    <x v="2"/>
    <n v="2020"/>
    <x v="3"/>
    <x v="0"/>
    <n v="300000"/>
    <n v="120000"/>
    <n v="180000"/>
  </r>
  <r>
    <x v="4"/>
    <x v="0"/>
    <n v="2020"/>
    <x v="1"/>
    <x v="7"/>
    <n v="228990"/>
    <n v="183192"/>
    <n v="45798"/>
  </r>
  <r>
    <x v="4"/>
    <x v="0"/>
    <n v="2020"/>
    <x v="3"/>
    <x v="2"/>
    <n v="300000"/>
    <n v="45000"/>
    <n v="255000"/>
  </r>
  <r>
    <x v="4"/>
    <x v="2"/>
    <n v="2020"/>
    <x v="1"/>
    <x v="0"/>
    <n v="170000"/>
    <n v="17000"/>
    <n v="153000"/>
  </r>
  <r>
    <x v="4"/>
    <x v="2"/>
    <n v="2020"/>
    <x v="3"/>
    <x v="7"/>
    <n v="365285"/>
    <n v="219171"/>
    <n v="146114"/>
  </r>
  <r>
    <x v="4"/>
    <x v="0"/>
    <n v="2020"/>
    <x v="2"/>
    <x v="2"/>
    <n v="120460"/>
    <n v="24092"/>
    <n v="96368"/>
  </r>
  <r>
    <x v="4"/>
    <x v="0"/>
    <n v="2020"/>
    <x v="3"/>
    <x v="3"/>
    <n v="95945"/>
    <n v="28783.5"/>
    <n v="67161.5"/>
  </r>
  <r>
    <x v="4"/>
    <x v="1"/>
    <n v="2020"/>
    <x v="0"/>
    <x v="0"/>
    <n v="27300"/>
    <n v="13650"/>
    <n v="13650"/>
  </r>
  <r>
    <x v="4"/>
    <x v="1"/>
    <n v="2020"/>
    <x v="2"/>
    <x v="7"/>
    <n v="27300"/>
    <n v="21840"/>
    <n v="5460"/>
  </r>
  <r>
    <x v="4"/>
    <x v="2"/>
    <n v="2020"/>
    <x v="2"/>
    <x v="4"/>
    <n v="66150"/>
    <n v="39690"/>
    <n v="26460"/>
  </r>
  <r>
    <x v="4"/>
    <x v="2"/>
    <n v="2020"/>
    <x v="3"/>
    <x v="0"/>
    <n v="228990"/>
    <n v="68697"/>
    <n v="160293"/>
  </r>
  <r>
    <x v="4"/>
    <x v="0"/>
    <n v="2020"/>
    <x v="1"/>
    <x v="2"/>
    <n v="27300"/>
    <n v="6825"/>
    <n v="20475"/>
  </r>
  <r>
    <x v="4"/>
    <x v="1"/>
    <n v="2020"/>
    <x v="0"/>
    <x v="4"/>
    <n v="415765"/>
    <n v="62364.75"/>
    <n v="353400.25"/>
  </r>
  <r>
    <x v="4"/>
    <x v="0"/>
    <n v="2020"/>
    <x v="2"/>
    <x v="3"/>
    <n v="66150"/>
    <n v="46305"/>
    <n v="19845"/>
  </r>
  <r>
    <x v="4"/>
    <x v="2"/>
    <n v="2020"/>
    <x v="1"/>
    <x v="7"/>
    <n v="599800"/>
    <n v="239920"/>
    <n v="359880"/>
  </r>
  <r>
    <x v="4"/>
    <x v="2"/>
    <n v="2020"/>
    <x v="3"/>
    <x v="6"/>
    <n v="365285"/>
    <n v="255699.49999999997"/>
    <n v="109585.50000000003"/>
  </r>
  <r>
    <x v="4"/>
    <x v="1"/>
    <n v="2020"/>
    <x v="2"/>
    <x v="7"/>
    <n v="170000"/>
    <n v="118999.99999999999"/>
    <n v="51000.000000000015"/>
  </r>
  <r>
    <x v="4"/>
    <x v="1"/>
    <n v="2020"/>
    <x v="2"/>
    <x v="3"/>
    <n v="170000"/>
    <n v="17000"/>
    <n v="153000"/>
  </r>
  <r>
    <x v="4"/>
    <x v="1"/>
    <n v="2020"/>
    <x v="2"/>
    <x v="0"/>
    <n v="66150"/>
    <n v="16537.5"/>
    <n v="49612.5"/>
  </r>
  <r>
    <x v="5"/>
    <x v="2"/>
    <n v="2020"/>
    <x v="0"/>
    <x v="0"/>
    <n v="27300"/>
    <n v="4095"/>
    <n v="23205"/>
  </r>
  <r>
    <x v="5"/>
    <x v="0"/>
    <n v="2020"/>
    <x v="3"/>
    <x v="5"/>
    <n v="300000"/>
    <n v="75000"/>
    <n v="225000"/>
  </r>
  <r>
    <x v="5"/>
    <x v="0"/>
    <n v="2020"/>
    <x v="2"/>
    <x v="0"/>
    <n v="300000"/>
    <n v="45000"/>
    <n v="255000"/>
  </r>
  <r>
    <x v="5"/>
    <x v="1"/>
    <n v="2020"/>
    <x v="1"/>
    <x v="3"/>
    <n v="300000"/>
    <n v="240000"/>
    <n v="60000"/>
  </r>
  <r>
    <x v="5"/>
    <x v="0"/>
    <n v="2020"/>
    <x v="0"/>
    <x v="3"/>
    <n v="300000"/>
    <n v="60000"/>
    <n v="240000"/>
  </r>
  <r>
    <x v="5"/>
    <x v="0"/>
    <n v="2020"/>
    <x v="3"/>
    <x v="4"/>
    <n v="300000"/>
    <n v="240000"/>
    <n v="60000"/>
  </r>
  <r>
    <x v="5"/>
    <x v="0"/>
    <n v="2020"/>
    <x v="1"/>
    <x v="5"/>
    <n v="490000"/>
    <n v="294000"/>
    <n v="196000"/>
  </r>
  <r>
    <x v="5"/>
    <x v="1"/>
    <n v="2020"/>
    <x v="2"/>
    <x v="3"/>
    <n v="365285"/>
    <n v="54792.75"/>
    <n v="310492.25"/>
  </r>
  <r>
    <x v="5"/>
    <x v="0"/>
    <n v="2020"/>
    <x v="1"/>
    <x v="6"/>
    <n v="228990"/>
    <n v="68697"/>
    <n v="160293"/>
  </r>
  <r>
    <x v="5"/>
    <x v="0"/>
    <n v="2020"/>
    <x v="1"/>
    <x v="3"/>
    <n v="228990"/>
    <n v="68697"/>
    <n v="160293"/>
  </r>
  <r>
    <x v="5"/>
    <x v="0"/>
    <n v="2020"/>
    <x v="2"/>
    <x v="3"/>
    <n v="599800"/>
    <n v="59980"/>
    <n v="539820"/>
  </r>
  <r>
    <x v="5"/>
    <x v="2"/>
    <n v="2020"/>
    <x v="2"/>
    <x v="4"/>
    <n v="66150"/>
    <n v="19845"/>
    <n v="46305"/>
  </r>
  <r>
    <x v="5"/>
    <x v="0"/>
    <n v="2020"/>
    <x v="2"/>
    <x v="6"/>
    <n v="535990"/>
    <n v="160797"/>
    <n v="375193"/>
  </r>
  <r>
    <x v="5"/>
    <x v="0"/>
    <n v="2020"/>
    <x v="0"/>
    <x v="6"/>
    <n v="228990"/>
    <n v="45798"/>
    <n v="183192"/>
  </r>
  <r>
    <x v="5"/>
    <x v="0"/>
    <n v="2020"/>
    <x v="2"/>
    <x v="3"/>
    <n v="120460"/>
    <n v="36138"/>
    <n v="84322"/>
  </r>
  <r>
    <x v="5"/>
    <x v="0"/>
    <n v="2020"/>
    <x v="2"/>
    <x v="4"/>
    <n v="228990"/>
    <n v="91596"/>
    <n v="137394"/>
  </r>
  <r>
    <x v="5"/>
    <x v="2"/>
    <n v="2020"/>
    <x v="0"/>
    <x v="0"/>
    <n v="599800"/>
    <n v="149950"/>
    <n v="449850"/>
  </r>
  <r>
    <x v="5"/>
    <x v="0"/>
    <n v="2020"/>
    <x v="0"/>
    <x v="4"/>
    <n v="120460"/>
    <n v="96368"/>
    <n v="24092"/>
  </r>
  <r>
    <x v="5"/>
    <x v="0"/>
    <n v="2020"/>
    <x v="3"/>
    <x v="7"/>
    <n v="170000"/>
    <n v="42500"/>
    <n v="127500"/>
  </r>
  <r>
    <x v="5"/>
    <x v="2"/>
    <n v="2020"/>
    <x v="3"/>
    <x v="5"/>
    <n v="170000"/>
    <n v="136000"/>
    <n v="34000"/>
  </r>
  <r>
    <x v="5"/>
    <x v="1"/>
    <n v="2020"/>
    <x v="1"/>
    <x v="0"/>
    <n v="599800"/>
    <n v="479840"/>
    <n v="119960"/>
  </r>
  <r>
    <x v="5"/>
    <x v="1"/>
    <n v="2020"/>
    <x v="3"/>
    <x v="4"/>
    <n v="415765"/>
    <n v="103941.25"/>
    <n v="311823.75"/>
  </r>
  <r>
    <x v="5"/>
    <x v="0"/>
    <n v="2020"/>
    <x v="3"/>
    <x v="4"/>
    <n v="170000"/>
    <n v="25500"/>
    <n v="144500"/>
  </r>
  <r>
    <x v="5"/>
    <x v="2"/>
    <n v="2020"/>
    <x v="3"/>
    <x v="6"/>
    <n v="490000"/>
    <n v="49000"/>
    <n v="441000"/>
  </r>
  <r>
    <x v="5"/>
    <x v="1"/>
    <n v="2020"/>
    <x v="0"/>
    <x v="2"/>
    <n v="170000"/>
    <n v="25500"/>
    <n v="144500"/>
  </r>
  <r>
    <x v="6"/>
    <x v="1"/>
    <n v="2020"/>
    <x v="1"/>
    <x v="2"/>
    <n v="535990"/>
    <n v="107198"/>
    <n v="428792"/>
  </r>
  <r>
    <x v="6"/>
    <x v="1"/>
    <n v="2020"/>
    <x v="0"/>
    <x v="3"/>
    <n v="95945"/>
    <n v="38378"/>
    <n v="57567"/>
  </r>
  <r>
    <x v="6"/>
    <x v="1"/>
    <n v="2020"/>
    <x v="3"/>
    <x v="3"/>
    <n v="599800"/>
    <n v="179940"/>
    <n v="419860"/>
  </r>
  <r>
    <x v="6"/>
    <x v="0"/>
    <n v="2020"/>
    <x v="0"/>
    <x v="1"/>
    <n v="535990"/>
    <n v="53599"/>
    <n v="482391"/>
  </r>
  <r>
    <x v="6"/>
    <x v="2"/>
    <n v="2020"/>
    <x v="1"/>
    <x v="1"/>
    <n v="300000"/>
    <n v="75000"/>
    <n v="225000"/>
  </r>
  <r>
    <x v="6"/>
    <x v="2"/>
    <n v="2020"/>
    <x v="0"/>
    <x v="1"/>
    <n v="27300"/>
    <n v="19110"/>
    <n v="8190"/>
  </r>
  <r>
    <x v="6"/>
    <x v="0"/>
    <n v="2020"/>
    <x v="1"/>
    <x v="0"/>
    <n v="535990"/>
    <n v="53599"/>
    <n v="482391"/>
  </r>
  <r>
    <x v="6"/>
    <x v="0"/>
    <n v="2020"/>
    <x v="1"/>
    <x v="0"/>
    <n v="170000"/>
    <n v="17000"/>
    <n v="153000"/>
  </r>
  <r>
    <x v="6"/>
    <x v="1"/>
    <n v="2020"/>
    <x v="0"/>
    <x v="2"/>
    <n v="535990"/>
    <n v="321594"/>
    <n v="214396"/>
  </r>
  <r>
    <x v="6"/>
    <x v="1"/>
    <n v="2020"/>
    <x v="1"/>
    <x v="3"/>
    <n v="228990"/>
    <n v="114495"/>
    <n v="114495"/>
  </r>
  <r>
    <x v="6"/>
    <x v="1"/>
    <n v="2020"/>
    <x v="1"/>
    <x v="7"/>
    <n v="300000"/>
    <n v="180000"/>
    <n v="120000"/>
  </r>
  <r>
    <x v="6"/>
    <x v="2"/>
    <n v="2020"/>
    <x v="3"/>
    <x v="6"/>
    <n v="66150"/>
    <n v="16537.5"/>
    <n v="49612.5"/>
  </r>
  <r>
    <x v="6"/>
    <x v="2"/>
    <n v="2020"/>
    <x v="3"/>
    <x v="3"/>
    <n v="599800"/>
    <n v="119960"/>
    <n v="479840"/>
  </r>
  <r>
    <x v="6"/>
    <x v="2"/>
    <n v="2020"/>
    <x v="0"/>
    <x v="0"/>
    <n v="490000"/>
    <n v="343000"/>
    <n v="147000"/>
  </r>
  <r>
    <x v="6"/>
    <x v="0"/>
    <n v="2020"/>
    <x v="2"/>
    <x v="1"/>
    <n v="300000"/>
    <n v="120000"/>
    <n v="180000"/>
  </r>
  <r>
    <x v="6"/>
    <x v="0"/>
    <n v="2020"/>
    <x v="3"/>
    <x v="3"/>
    <n v="228990"/>
    <n v="68697"/>
    <n v="160293"/>
  </r>
  <r>
    <x v="6"/>
    <x v="2"/>
    <n v="2020"/>
    <x v="3"/>
    <x v="1"/>
    <n v="300000"/>
    <n v="90000"/>
    <n v="210000"/>
  </r>
  <r>
    <x v="6"/>
    <x v="1"/>
    <n v="2020"/>
    <x v="2"/>
    <x v="3"/>
    <n v="120460"/>
    <n v="72276"/>
    <n v="48184"/>
  </r>
  <r>
    <x v="6"/>
    <x v="1"/>
    <n v="2020"/>
    <x v="3"/>
    <x v="0"/>
    <n v="365285"/>
    <n v="54792.75"/>
    <n v="310492.25"/>
  </r>
  <r>
    <x v="6"/>
    <x v="0"/>
    <n v="2020"/>
    <x v="1"/>
    <x v="1"/>
    <n v="120460"/>
    <n v="96368"/>
    <n v="24092"/>
  </r>
  <r>
    <x v="6"/>
    <x v="1"/>
    <n v="2020"/>
    <x v="0"/>
    <x v="0"/>
    <n v="170000"/>
    <n v="42500"/>
    <n v="127500"/>
  </r>
  <r>
    <x v="6"/>
    <x v="2"/>
    <n v="2020"/>
    <x v="2"/>
    <x v="0"/>
    <n v="365285"/>
    <n v="91321.25"/>
    <n v="273963.75"/>
  </r>
  <r>
    <x v="6"/>
    <x v="2"/>
    <n v="2020"/>
    <x v="0"/>
    <x v="0"/>
    <n v="365285"/>
    <n v="54792.75"/>
    <n v="310492.25"/>
  </r>
  <r>
    <x v="6"/>
    <x v="2"/>
    <n v="2020"/>
    <x v="1"/>
    <x v="6"/>
    <n v="599800"/>
    <n v="479840"/>
    <n v="119960"/>
  </r>
  <r>
    <x v="7"/>
    <x v="2"/>
    <n v="2020"/>
    <x v="1"/>
    <x v="0"/>
    <n v="228990"/>
    <n v="183192"/>
    <n v="45798"/>
  </r>
  <r>
    <x v="7"/>
    <x v="1"/>
    <n v="2020"/>
    <x v="1"/>
    <x v="2"/>
    <n v="365285"/>
    <n v="219171"/>
    <n v="146114"/>
  </r>
  <r>
    <x v="7"/>
    <x v="0"/>
    <n v="2020"/>
    <x v="3"/>
    <x v="5"/>
    <n v="365285"/>
    <n v="91321.25"/>
    <n v="273963.75"/>
  </r>
  <r>
    <x v="7"/>
    <x v="1"/>
    <n v="2020"/>
    <x v="2"/>
    <x v="1"/>
    <n v="120460"/>
    <n v="30115"/>
    <n v="90345"/>
  </r>
  <r>
    <x v="7"/>
    <x v="0"/>
    <n v="2020"/>
    <x v="3"/>
    <x v="3"/>
    <n v="66150"/>
    <n v="19845"/>
    <n v="46305"/>
  </r>
  <r>
    <x v="7"/>
    <x v="2"/>
    <n v="2020"/>
    <x v="3"/>
    <x v="1"/>
    <n v="415765"/>
    <n v="207882.5"/>
    <n v="207882.5"/>
  </r>
  <r>
    <x v="7"/>
    <x v="0"/>
    <n v="2020"/>
    <x v="1"/>
    <x v="1"/>
    <n v="27300"/>
    <n v="5460"/>
    <n v="21840"/>
  </r>
  <r>
    <x v="7"/>
    <x v="1"/>
    <n v="2020"/>
    <x v="0"/>
    <x v="2"/>
    <n v="120460"/>
    <n v="60230"/>
    <n v="60230"/>
  </r>
  <r>
    <x v="7"/>
    <x v="1"/>
    <n v="2020"/>
    <x v="1"/>
    <x v="6"/>
    <n v="490000"/>
    <n v="196000"/>
    <n v="294000"/>
  </r>
  <r>
    <x v="7"/>
    <x v="2"/>
    <n v="2020"/>
    <x v="3"/>
    <x v="1"/>
    <n v="365285"/>
    <n v="182642.5"/>
    <n v="182642.5"/>
  </r>
  <r>
    <x v="7"/>
    <x v="2"/>
    <n v="2020"/>
    <x v="0"/>
    <x v="7"/>
    <n v="599800"/>
    <n v="59980"/>
    <n v="539820"/>
  </r>
  <r>
    <x v="7"/>
    <x v="2"/>
    <n v="2020"/>
    <x v="1"/>
    <x v="1"/>
    <n v="415765"/>
    <n v="41576.5"/>
    <n v="374188.5"/>
  </r>
  <r>
    <x v="7"/>
    <x v="1"/>
    <n v="2020"/>
    <x v="3"/>
    <x v="3"/>
    <n v="535990"/>
    <n v="80398.5"/>
    <n v="455591.5"/>
  </r>
  <r>
    <x v="7"/>
    <x v="0"/>
    <n v="2020"/>
    <x v="3"/>
    <x v="3"/>
    <n v="120460"/>
    <n v="84322"/>
    <n v="36138"/>
  </r>
  <r>
    <x v="7"/>
    <x v="2"/>
    <n v="2020"/>
    <x v="2"/>
    <x v="5"/>
    <n v="120460"/>
    <n v="36138"/>
    <n v="84322"/>
  </r>
  <r>
    <x v="7"/>
    <x v="0"/>
    <n v="2020"/>
    <x v="3"/>
    <x v="4"/>
    <n v="415765"/>
    <n v="207882.5"/>
    <n v="207882.5"/>
  </r>
  <r>
    <x v="7"/>
    <x v="0"/>
    <n v="2020"/>
    <x v="3"/>
    <x v="1"/>
    <n v="66150"/>
    <n v="9922.5"/>
    <n v="56227.5"/>
  </r>
  <r>
    <x v="7"/>
    <x v="1"/>
    <n v="2020"/>
    <x v="0"/>
    <x v="7"/>
    <n v="170000"/>
    <n v="51000"/>
    <n v="119000"/>
  </r>
  <r>
    <x v="7"/>
    <x v="0"/>
    <n v="2020"/>
    <x v="1"/>
    <x v="1"/>
    <n v="365285"/>
    <n v="219171"/>
    <n v="146114"/>
  </r>
  <r>
    <x v="7"/>
    <x v="1"/>
    <n v="2020"/>
    <x v="0"/>
    <x v="7"/>
    <n v="228990"/>
    <n v="91596"/>
    <n v="137394"/>
  </r>
  <r>
    <x v="7"/>
    <x v="0"/>
    <n v="2020"/>
    <x v="0"/>
    <x v="5"/>
    <n v="66150"/>
    <n v="19845"/>
    <n v="46305"/>
  </r>
  <r>
    <x v="7"/>
    <x v="1"/>
    <n v="2020"/>
    <x v="1"/>
    <x v="2"/>
    <n v="300000"/>
    <n v="150000"/>
    <n v="150000"/>
  </r>
  <r>
    <x v="7"/>
    <x v="1"/>
    <n v="2020"/>
    <x v="0"/>
    <x v="4"/>
    <n v="490000"/>
    <n v="196000"/>
    <n v="294000"/>
  </r>
  <r>
    <x v="7"/>
    <x v="2"/>
    <n v="2020"/>
    <x v="3"/>
    <x v="0"/>
    <n v="300000"/>
    <n v="120000"/>
    <n v="180000"/>
  </r>
  <r>
    <x v="7"/>
    <x v="1"/>
    <n v="2020"/>
    <x v="0"/>
    <x v="4"/>
    <n v="365285"/>
    <n v="146114"/>
    <n v="219171"/>
  </r>
  <r>
    <x v="7"/>
    <x v="0"/>
    <n v="2020"/>
    <x v="2"/>
    <x v="5"/>
    <n v="365285"/>
    <n v="109585.5"/>
    <n v="255699.5"/>
  </r>
  <r>
    <x v="7"/>
    <x v="0"/>
    <n v="2020"/>
    <x v="2"/>
    <x v="2"/>
    <n v="490000"/>
    <n v="245000"/>
    <n v="245000"/>
  </r>
  <r>
    <x v="7"/>
    <x v="2"/>
    <n v="2020"/>
    <x v="0"/>
    <x v="1"/>
    <n v="170000"/>
    <n v="17000"/>
    <n v="153000"/>
  </r>
  <r>
    <x v="7"/>
    <x v="0"/>
    <n v="2020"/>
    <x v="0"/>
    <x v="5"/>
    <n v="120460"/>
    <n v="24092"/>
    <n v="96368"/>
  </r>
  <r>
    <x v="7"/>
    <x v="0"/>
    <n v="2020"/>
    <x v="2"/>
    <x v="5"/>
    <n v="228990"/>
    <n v="34348.5"/>
    <n v="194641.5"/>
  </r>
  <r>
    <x v="7"/>
    <x v="2"/>
    <n v="2020"/>
    <x v="2"/>
    <x v="5"/>
    <n v="365285"/>
    <n v="91321.25"/>
    <n v="273963.75"/>
  </r>
  <r>
    <x v="7"/>
    <x v="1"/>
    <n v="2020"/>
    <x v="3"/>
    <x v="5"/>
    <n v="170000"/>
    <n v="17000"/>
    <n v="153000"/>
  </r>
  <r>
    <x v="7"/>
    <x v="2"/>
    <n v="2020"/>
    <x v="2"/>
    <x v="3"/>
    <n v="228990"/>
    <n v="57247.5"/>
    <n v="171742.5"/>
  </r>
  <r>
    <x v="7"/>
    <x v="2"/>
    <n v="2020"/>
    <x v="2"/>
    <x v="5"/>
    <n v="490000"/>
    <n v="294000"/>
    <n v="196000"/>
  </r>
  <r>
    <x v="8"/>
    <x v="0"/>
    <n v="2020"/>
    <x v="1"/>
    <x v="2"/>
    <n v="535990"/>
    <n v="107198"/>
    <n v="428792"/>
  </r>
  <r>
    <x v="8"/>
    <x v="0"/>
    <n v="2020"/>
    <x v="3"/>
    <x v="6"/>
    <n v="365285"/>
    <n v="73057"/>
    <n v="292228"/>
  </r>
  <r>
    <x v="8"/>
    <x v="0"/>
    <n v="2020"/>
    <x v="3"/>
    <x v="0"/>
    <n v="490000"/>
    <n v="49000"/>
    <n v="441000"/>
  </r>
  <r>
    <x v="8"/>
    <x v="2"/>
    <n v="2020"/>
    <x v="1"/>
    <x v="4"/>
    <n v="27300"/>
    <n v="2730"/>
    <n v="24570"/>
  </r>
  <r>
    <x v="8"/>
    <x v="1"/>
    <n v="2020"/>
    <x v="2"/>
    <x v="5"/>
    <n v="490000"/>
    <n v="343000"/>
    <n v="147000"/>
  </r>
  <r>
    <x v="8"/>
    <x v="0"/>
    <n v="2020"/>
    <x v="3"/>
    <x v="4"/>
    <n v="300000"/>
    <n v="75000"/>
    <n v="225000"/>
  </r>
  <r>
    <x v="8"/>
    <x v="2"/>
    <n v="2020"/>
    <x v="0"/>
    <x v="2"/>
    <n v="599800"/>
    <n v="59980"/>
    <n v="539820"/>
  </r>
  <r>
    <x v="8"/>
    <x v="2"/>
    <n v="2020"/>
    <x v="2"/>
    <x v="4"/>
    <n v="228990"/>
    <n v="45798"/>
    <n v="183192"/>
  </r>
  <r>
    <x v="8"/>
    <x v="2"/>
    <n v="2020"/>
    <x v="3"/>
    <x v="3"/>
    <n v="66150"/>
    <n v="6615"/>
    <n v="59535"/>
  </r>
  <r>
    <x v="8"/>
    <x v="1"/>
    <n v="2020"/>
    <x v="0"/>
    <x v="5"/>
    <n v="365285"/>
    <n v="182642.5"/>
    <n v="182642.5"/>
  </r>
  <r>
    <x v="8"/>
    <x v="1"/>
    <n v="2020"/>
    <x v="0"/>
    <x v="1"/>
    <n v="300000"/>
    <n v="30000"/>
    <n v="270000"/>
  </r>
  <r>
    <x v="8"/>
    <x v="1"/>
    <n v="2020"/>
    <x v="1"/>
    <x v="7"/>
    <n v="170000"/>
    <n v="51000"/>
    <n v="119000"/>
  </r>
  <r>
    <x v="8"/>
    <x v="0"/>
    <n v="2020"/>
    <x v="1"/>
    <x v="3"/>
    <n v="365285"/>
    <n v="36528.5"/>
    <n v="328756.5"/>
  </r>
  <r>
    <x v="8"/>
    <x v="0"/>
    <n v="2020"/>
    <x v="1"/>
    <x v="3"/>
    <n v="95945"/>
    <n v="23986.25"/>
    <n v="71958.75"/>
  </r>
  <r>
    <x v="8"/>
    <x v="2"/>
    <n v="2020"/>
    <x v="0"/>
    <x v="4"/>
    <n v="300000"/>
    <n v="75000"/>
    <n v="225000"/>
  </r>
  <r>
    <x v="8"/>
    <x v="0"/>
    <n v="2020"/>
    <x v="3"/>
    <x v="4"/>
    <n v="599800"/>
    <n v="479840"/>
    <n v="119960"/>
  </r>
  <r>
    <x v="8"/>
    <x v="2"/>
    <n v="2020"/>
    <x v="2"/>
    <x v="2"/>
    <n v="490000"/>
    <n v="196000"/>
    <n v="294000"/>
  </r>
  <r>
    <x v="8"/>
    <x v="2"/>
    <n v="2020"/>
    <x v="0"/>
    <x v="2"/>
    <n v="228990"/>
    <n v="34348.5"/>
    <n v="194641.5"/>
  </r>
  <r>
    <x v="8"/>
    <x v="1"/>
    <n v="2020"/>
    <x v="0"/>
    <x v="3"/>
    <n v="415765"/>
    <n v="166306"/>
    <n v="249459"/>
  </r>
  <r>
    <x v="8"/>
    <x v="1"/>
    <n v="2020"/>
    <x v="0"/>
    <x v="2"/>
    <n v="415765"/>
    <n v="207882.5"/>
    <n v="207882.5"/>
  </r>
  <r>
    <x v="8"/>
    <x v="2"/>
    <n v="2020"/>
    <x v="0"/>
    <x v="1"/>
    <n v="170000"/>
    <n v="118999.99999999999"/>
    <n v="51000.000000000015"/>
  </r>
  <r>
    <x v="8"/>
    <x v="2"/>
    <n v="2020"/>
    <x v="3"/>
    <x v="6"/>
    <n v="599800"/>
    <n v="89970"/>
    <n v="509830"/>
  </r>
  <r>
    <x v="8"/>
    <x v="2"/>
    <n v="2020"/>
    <x v="3"/>
    <x v="3"/>
    <n v="95945"/>
    <n v="47972.5"/>
    <n v="47972.5"/>
  </r>
  <r>
    <x v="8"/>
    <x v="0"/>
    <n v="2020"/>
    <x v="2"/>
    <x v="1"/>
    <n v="415765"/>
    <n v="166306"/>
    <n v="249459"/>
  </r>
  <r>
    <x v="8"/>
    <x v="1"/>
    <n v="2020"/>
    <x v="1"/>
    <x v="0"/>
    <n v="490000"/>
    <n v="196000"/>
    <n v="294000"/>
  </r>
  <r>
    <x v="8"/>
    <x v="2"/>
    <n v="2020"/>
    <x v="3"/>
    <x v="5"/>
    <n v="170000"/>
    <n v="17000"/>
    <n v="153000"/>
  </r>
  <r>
    <x v="8"/>
    <x v="0"/>
    <n v="2020"/>
    <x v="1"/>
    <x v="2"/>
    <n v="490000"/>
    <n v="98000"/>
    <n v="392000"/>
  </r>
  <r>
    <x v="8"/>
    <x v="2"/>
    <n v="2020"/>
    <x v="0"/>
    <x v="7"/>
    <n v="95945"/>
    <n v="47972.5"/>
    <n v="47972.5"/>
  </r>
  <r>
    <x v="8"/>
    <x v="2"/>
    <n v="2020"/>
    <x v="0"/>
    <x v="6"/>
    <n v="170000"/>
    <n v="102000"/>
    <n v="68000"/>
  </r>
  <r>
    <x v="8"/>
    <x v="1"/>
    <n v="2020"/>
    <x v="2"/>
    <x v="6"/>
    <n v="170000"/>
    <n v="85000"/>
    <n v="85000"/>
  </r>
  <r>
    <x v="8"/>
    <x v="0"/>
    <n v="2020"/>
    <x v="2"/>
    <x v="0"/>
    <n v="228990"/>
    <n v="68697"/>
    <n v="160293"/>
  </r>
  <r>
    <x v="8"/>
    <x v="2"/>
    <n v="2020"/>
    <x v="1"/>
    <x v="0"/>
    <n v="365285"/>
    <n v="54792.75"/>
    <n v="310492.25"/>
  </r>
  <r>
    <x v="8"/>
    <x v="0"/>
    <n v="2020"/>
    <x v="0"/>
    <x v="0"/>
    <n v="599800"/>
    <n v="239920"/>
    <n v="359880"/>
  </r>
  <r>
    <x v="8"/>
    <x v="2"/>
    <n v="2020"/>
    <x v="0"/>
    <x v="1"/>
    <n v="95945"/>
    <n v="19189"/>
    <n v="76756"/>
  </r>
  <r>
    <x v="8"/>
    <x v="2"/>
    <n v="2020"/>
    <x v="1"/>
    <x v="7"/>
    <n v="300000"/>
    <n v="45000"/>
    <n v="255000"/>
  </r>
  <r>
    <x v="8"/>
    <x v="0"/>
    <n v="2020"/>
    <x v="1"/>
    <x v="7"/>
    <n v="120460"/>
    <n v="72276"/>
    <n v="48184"/>
  </r>
  <r>
    <x v="8"/>
    <x v="2"/>
    <n v="2020"/>
    <x v="3"/>
    <x v="6"/>
    <n v="599800"/>
    <n v="299900"/>
    <n v="299900"/>
  </r>
  <r>
    <x v="8"/>
    <x v="2"/>
    <n v="2020"/>
    <x v="2"/>
    <x v="4"/>
    <n v="228990"/>
    <n v="183192"/>
    <n v="45798"/>
  </r>
  <r>
    <x v="8"/>
    <x v="2"/>
    <n v="2020"/>
    <x v="0"/>
    <x v="1"/>
    <n v="66150"/>
    <n v="46305"/>
    <n v="19845"/>
  </r>
  <r>
    <x v="8"/>
    <x v="2"/>
    <n v="2020"/>
    <x v="3"/>
    <x v="7"/>
    <n v="95945"/>
    <n v="14391.75"/>
    <n v="81553.25"/>
  </r>
  <r>
    <x v="8"/>
    <x v="0"/>
    <n v="2020"/>
    <x v="3"/>
    <x v="1"/>
    <n v="66150"/>
    <n v="16537.5"/>
    <n v="49612.5"/>
  </r>
  <r>
    <x v="8"/>
    <x v="2"/>
    <n v="2020"/>
    <x v="2"/>
    <x v="7"/>
    <n v="599800"/>
    <n v="359880"/>
    <n v="239920"/>
  </r>
  <r>
    <x v="8"/>
    <x v="1"/>
    <n v="2020"/>
    <x v="0"/>
    <x v="1"/>
    <n v="300000"/>
    <n v="30000"/>
    <n v="270000"/>
  </r>
  <r>
    <x v="8"/>
    <x v="0"/>
    <n v="2020"/>
    <x v="1"/>
    <x v="0"/>
    <n v="120460"/>
    <n v="30115"/>
    <n v="90345"/>
  </r>
  <r>
    <x v="8"/>
    <x v="0"/>
    <n v="2020"/>
    <x v="2"/>
    <x v="4"/>
    <n v="365285"/>
    <n v="109585.5"/>
    <n v="255699.5"/>
  </r>
  <r>
    <x v="8"/>
    <x v="1"/>
    <n v="2020"/>
    <x v="1"/>
    <x v="6"/>
    <n v="415765"/>
    <n v="62364.75"/>
    <n v="353400.25"/>
  </r>
  <r>
    <x v="8"/>
    <x v="1"/>
    <n v="2020"/>
    <x v="0"/>
    <x v="7"/>
    <n v="170000"/>
    <n v="85000"/>
    <n v="85000"/>
  </r>
  <r>
    <x v="8"/>
    <x v="0"/>
    <n v="2020"/>
    <x v="3"/>
    <x v="1"/>
    <n v="66150"/>
    <n v="46305"/>
    <n v="19845"/>
  </r>
  <r>
    <x v="8"/>
    <x v="1"/>
    <n v="2020"/>
    <x v="0"/>
    <x v="4"/>
    <n v="170000"/>
    <n v="68000"/>
    <n v="102000"/>
  </r>
  <r>
    <x v="9"/>
    <x v="0"/>
    <n v="2020"/>
    <x v="0"/>
    <x v="5"/>
    <n v="66150"/>
    <n v="39690"/>
    <n v="26460"/>
  </r>
  <r>
    <x v="9"/>
    <x v="0"/>
    <n v="2020"/>
    <x v="3"/>
    <x v="3"/>
    <n v="415765"/>
    <n v="249459"/>
    <n v="166306"/>
  </r>
  <r>
    <x v="9"/>
    <x v="2"/>
    <n v="2020"/>
    <x v="2"/>
    <x v="1"/>
    <n v="599800"/>
    <n v="239920"/>
    <n v="359880"/>
  </r>
  <r>
    <x v="9"/>
    <x v="1"/>
    <n v="2020"/>
    <x v="2"/>
    <x v="1"/>
    <n v="95945"/>
    <n v="28783.5"/>
    <n v="67161.5"/>
  </r>
  <r>
    <x v="9"/>
    <x v="0"/>
    <n v="2020"/>
    <x v="0"/>
    <x v="3"/>
    <n v="95945"/>
    <n v="9594.5"/>
    <n v="86350.5"/>
  </r>
  <r>
    <x v="9"/>
    <x v="0"/>
    <n v="2020"/>
    <x v="0"/>
    <x v="6"/>
    <n v="365285"/>
    <n v="292228"/>
    <n v="73057"/>
  </r>
  <r>
    <x v="9"/>
    <x v="0"/>
    <n v="2020"/>
    <x v="3"/>
    <x v="6"/>
    <n v="300000"/>
    <n v="240000"/>
    <n v="60000"/>
  </r>
  <r>
    <x v="9"/>
    <x v="2"/>
    <n v="2020"/>
    <x v="1"/>
    <x v="1"/>
    <n v="120460"/>
    <n v="60230"/>
    <n v="60230"/>
  </r>
  <r>
    <x v="9"/>
    <x v="2"/>
    <n v="2020"/>
    <x v="2"/>
    <x v="3"/>
    <n v="490000"/>
    <n v="49000"/>
    <n v="441000"/>
  </r>
  <r>
    <x v="9"/>
    <x v="0"/>
    <n v="2020"/>
    <x v="2"/>
    <x v="2"/>
    <n v="27300"/>
    <n v="2730"/>
    <n v="24570"/>
  </r>
  <r>
    <x v="9"/>
    <x v="0"/>
    <n v="2020"/>
    <x v="0"/>
    <x v="4"/>
    <n v="170000"/>
    <n v="34000"/>
    <n v="136000"/>
  </r>
  <r>
    <x v="9"/>
    <x v="0"/>
    <n v="2020"/>
    <x v="2"/>
    <x v="7"/>
    <n v="490000"/>
    <n v="196000"/>
    <n v="294000"/>
  </r>
  <r>
    <x v="9"/>
    <x v="2"/>
    <n v="2020"/>
    <x v="2"/>
    <x v="7"/>
    <n v="599800"/>
    <n v="179940"/>
    <n v="419860"/>
  </r>
  <r>
    <x v="9"/>
    <x v="2"/>
    <n v="2020"/>
    <x v="1"/>
    <x v="7"/>
    <n v="365285"/>
    <n v="219171"/>
    <n v="146114"/>
  </r>
  <r>
    <x v="9"/>
    <x v="0"/>
    <n v="2020"/>
    <x v="1"/>
    <x v="4"/>
    <n v="490000"/>
    <n v="49000"/>
    <n v="441000"/>
  </r>
  <r>
    <x v="9"/>
    <x v="0"/>
    <n v="2020"/>
    <x v="3"/>
    <x v="3"/>
    <n v="300000"/>
    <n v="90000"/>
    <n v="210000"/>
  </r>
  <r>
    <x v="9"/>
    <x v="1"/>
    <n v="2020"/>
    <x v="3"/>
    <x v="0"/>
    <n v="95945"/>
    <n v="67161.5"/>
    <n v="28783.5"/>
  </r>
  <r>
    <x v="9"/>
    <x v="2"/>
    <n v="2020"/>
    <x v="3"/>
    <x v="3"/>
    <n v="95945"/>
    <n v="57567"/>
    <n v="38378"/>
  </r>
  <r>
    <x v="9"/>
    <x v="2"/>
    <n v="2020"/>
    <x v="0"/>
    <x v="1"/>
    <n v="300000"/>
    <n v="240000"/>
    <n v="60000"/>
  </r>
  <r>
    <x v="9"/>
    <x v="1"/>
    <n v="2020"/>
    <x v="0"/>
    <x v="2"/>
    <n v="599800"/>
    <n v="239920"/>
    <n v="359880"/>
  </r>
  <r>
    <x v="9"/>
    <x v="2"/>
    <n v="2020"/>
    <x v="1"/>
    <x v="5"/>
    <n v="27300"/>
    <n v="16380"/>
    <n v="10920"/>
  </r>
  <r>
    <x v="9"/>
    <x v="2"/>
    <n v="2020"/>
    <x v="3"/>
    <x v="0"/>
    <n v="300000"/>
    <n v="60000"/>
    <n v="240000"/>
  </r>
  <r>
    <x v="9"/>
    <x v="1"/>
    <n v="2020"/>
    <x v="1"/>
    <x v="2"/>
    <n v="599800"/>
    <n v="119960"/>
    <n v="479840"/>
  </r>
  <r>
    <x v="9"/>
    <x v="1"/>
    <n v="2020"/>
    <x v="3"/>
    <x v="4"/>
    <n v="66150"/>
    <n v="33075"/>
    <n v="33075"/>
  </r>
  <r>
    <x v="9"/>
    <x v="2"/>
    <n v="2020"/>
    <x v="1"/>
    <x v="1"/>
    <n v="300000"/>
    <n v="120000"/>
    <n v="180000"/>
  </r>
  <r>
    <x v="9"/>
    <x v="2"/>
    <n v="2020"/>
    <x v="0"/>
    <x v="1"/>
    <n v="490000"/>
    <n v="122500"/>
    <n v="367500"/>
  </r>
  <r>
    <x v="10"/>
    <x v="0"/>
    <n v="2020"/>
    <x v="2"/>
    <x v="6"/>
    <n v="490000"/>
    <n v="122500"/>
    <n v="367500"/>
  </r>
  <r>
    <x v="10"/>
    <x v="0"/>
    <n v="2020"/>
    <x v="3"/>
    <x v="4"/>
    <n v="599800"/>
    <n v="299900"/>
    <n v="299900"/>
  </r>
  <r>
    <x v="10"/>
    <x v="1"/>
    <n v="2020"/>
    <x v="2"/>
    <x v="3"/>
    <n v="95945"/>
    <n v="14391.75"/>
    <n v="81553.25"/>
  </r>
  <r>
    <x v="10"/>
    <x v="0"/>
    <n v="2020"/>
    <x v="3"/>
    <x v="5"/>
    <n v="66150"/>
    <n v="39690"/>
    <n v="26460"/>
  </r>
  <r>
    <x v="10"/>
    <x v="0"/>
    <n v="2020"/>
    <x v="0"/>
    <x v="5"/>
    <n v="170000"/>
    <n v="136000"/>
    <n v="34000"/>
  </r>
  <r>
    <x v="10"/>
    <x v="0"/>
    <n v="2020"/>
    <x v="1"/>
    <x v="7"/>
    <n v="415765"/>
    <n v="207882.5"/>
    <n v="207882.5"/>
  </r>
  <r>
    <x v="10"/>
    <x v="2"/>
    <n v="2020"/>
    <x v="0"/>
    <x v="1"/>
    <n v="170000"/>
    <n v="51000"/>
    <n v="119000"/>
  </r>
  <r>
    <x v="10"/>
    <x v="0"/>
    <n v="2020"/>
    <x v="2"/>
    <x v="0"/>
    <n v="228990"/>
    <n v="22899"/>
    <n v="206091"/>
  </r>
  <r>
    <x v="10"/>
    <x v="1"/>
    <n v="2020"/>
    <x v="0"/>
    <x v="2"/>
    <n v="415765"/>
    <n v="124729.5"/>
    <n v="291035.5"/>
  </r>
  <r>
    <x v="10"/>
    <x v="2"/>
    <n v="2020"/>
    <x v="1"/>
    <x v="4"/>
    <n v="228990"/>
    <n v="183192"/>
    <n v="45798"/>
  </r>
  <r>
    <x v="10"/>
    <x v="1"/>
    <n v="2020"/>
    <x v="3"/>
    <x v="1"/>
    <n v="415765"/>
    <n v="124729.5"/>
    <n v="291035.5"/>
  </r>
  <r>
    <x v="10"/>
    <x v="1"/>
    <n v="2020"/>
    <x v="1"/>
    <x v="4"/>
    <n v="27300"/>
    <n v="8190"/>
    <n v="19110"/>
  </r>
  <r>
    <x v="10"/>
    <x v="1"/>
    <n v="2020"/>
    <x v="1"/>
    <x v="3"/>
    <n v="365285"/>
    <n v="292228"/>
    <n v="73057"/>
  </r>
  <r>
    <x v="10"/>
    <x v="2"/>
    <n v="2020"/>
    <x v="1"/>
    <x v="5"/>
    <n v="228990"/>
    <n v="57247.5"/>
    <n v="171742.5"/>
  </r>
  <r>
    <x v="10"/>
    <x v="0"/>
    <n v="2020"/>
    <x v="2"/>
    <x v="0"/>
    <n v="365285"/>
    <n v="292228"/>
    <n v="73057"/>
  </r>
  <r>
    <x v="11"/>
    <x v="1"/>
    <n v="2020"/>
    <x v="2"/>
    <x v="7"/>
    <n v="300000"/>
    <n v="90000"/>
    <n v="210000"/>
  </r>
  <r>
    <x v="11"/>
    <x v="1"/>
    <n v="2020"/>
    <x v="1"/>
    <x v="2"/>
    <n v="365285"/>
    <n v="292228"/>
    <n v="73057"/>
  </r>
  <r>
    <x v="11"/>
    <x v="1"/>
    <n v="2020"/>
    <x v="2"/>
    <x v="7"/>
    <n v="170000"/>
    <n v="136000"/>
    <n v="34000"/>
  </r>
  <r>
    <x v="11"/>
    <x v="0"/>
    <n v="2020"/>
    <x v="2"/>
    <x v="4"/>
    <n v="365285"/>
    <n v="109585.5"/>
    <n v="255699.5"/>
  </r>
  <r>
    <x v="11"/>
    <x v="0"/>
    <n v="2020"/>
    <x v="1"/>
    <x v="0"/>
    <n v="365285"/>
    <n v="182642.5"/>
    <n v="182642.5"/>
  </r>
  <r>
    <x v="11"/>
    <x v="2"/>
    <n v="2020"/>
    <x v="3"/>
    <x v="4"/>
    <n v="365285"/>
    <n v="54792.75"/>
    <n v="310492.25"/>
  </r>
  <r>
    <x v="11"/>
    <x v="1"/>
    <n v="2020"/>
    <x v="1"/>
    <x v="6"/>
    <n v="228990"/>
    <n v="34348.5"/>
    <n v="194641.5"/>
  </r>
  <r>
    <x v="11"/>
    <x v="2"/>
    <n v="2020"/>
    <x v="3"/>
    <x v="4"/>
    <n v="120460"/>
    <n v="60230"/>
    <n v="60230"/>
  </r>
  <r>
    <x v="11"/>
    <x v="2"/>
    <n v="2020"/>
    <x v="3"/>
    <x v="2"/>
    <n v="300000"/>
    <n v="240000"/>
    <n v="60000"/>
  </r>
  <r>
    <x v="11"/>
    <x v="1"/>
    <n v="2020"/>
    <x v="2"/>
    <x v="5"/>
    <n v="66150"/>
    <n v="13230"/>
    <n v="52920"/>
  </r>
  <r>
    <x v="11"/>
    <x v="2"/>
    <n v="2020"/>
    <x v="3"/>
    <x v="1"/>
    <n v="300000"/>
    <n v="45000"/>
    <n v="255000"/>
  </r>
  <r>
    <x v="11"/>
    <x v="2"/>
    <n v="2020"/>
    <x v="2"/>
    <x v="2"/>
    <n v="535990"/>
    <n v="214396"/>
    <n v="321594"/>
  </r>
  <r>
    <x v="11"/>
    <x v="0"/>
    <n v="2020"/>
    <x v="1"/>
    <x v="1"/>
    <n v="535990"/>
    <n v="375193"/>
    <n v="160797"/>
  </r>
  <r>
    <x v="11"/>
    <x v="0"/>
    <n v="2020"/>
    <x v="2"/>
    <x v="4"/>
    <n v="228990"/>
    <n v="137394"/>
    <n v="91596"/>
  </r>
  <r>
    <x v="11"/>
    <x v="2"/>
    <n v="2020"/>
    <x v="0"/>
    <x v="6"/>
    <n v="535990"/>
    <n v="375193"/>
    <n v="160797"/>
  </r>
  <r>
    <x v="11"/>
    <x v="0"/>
    <n v="2020"/>
    <x v="3"/>
    <x v="3"/>
    <n v="170000"/>
    <n v="68000"/>
    <n v="102000"/>
  </r>
  <r>
    <x v="11"/>
    <x v="0"/>
    <n v="2020"/>
    <x v="0"/>
    <x v="5"/>
    <n v="300000"/>
    <n v="150000"/>
    <n v="150000"/>
  </r>
  <r>
    <x v="11"/>
    <x v="2"/>
    <n v="2020"/>
    <x v="0"/>
    <x v="7"/>
    <n v="535990"/>
    <n v="214396"/>
    <n v="321594"/>
  </r>
  <r>
    <x v="11"/>
    <x v="1"/>
    <n v="2020"/>
    <x v="0"/>
    <x v="4"/>
    <n v="27300"/>
    <n v="4095"/>
    <n v="23205"/>
  </r>
  <r>
    <x v="11"/>
    <x v="2"/>
    <n v="2020"/>
    <x v="3"/>
    <x v="6"/>
    <n v="535990"/>
    <n v="160797"/>
    <n v="375193"/>
  </r>
  <r>
    <x v="11"/>
    <x v="2"/>
    <n v="2020"/>
    <x v="1"/>
    <x v="0"/>
    <n v="415765"/>
    <n v="207882.5"/>
    <n v="207882.5"/>
  </r>
  <r>
    <x v="11"/>
    <x v="2"/>
    <n v="2020"/>
    <x v="3"/>
    <x v="0"/>
    <n v="415765"/>
    <n v="124729.5"/>
    <n v="291035.5"/>
  </r>
  <r>
    <x v="11"/>
    <x v="1"/>
    <n v="2020"/>
    <x v="3"/>
    <x v="3"/>
    <n v="27300"/>
    <n v="5460"/>
    <n v="21840"/>
  </r>
  <r>
    <x v="11"/>
    <x v="2"/>
    <n v="2020"/>
    <x v="3"/>
    <x v="5"/>
    <n v="490000"/>
    <n v="245000"/>
    <n v="245000"/>
  </r>
  <r>
    <x v="12"/>
    <x v="0"/>
    <n v="2020"/>
    <x v="3"/>
    <x v="0"/>
    <n v="66150"/>
    <n v="13230"/>
    <n v="52920"/>
  </r>
  <r>
    <x v="12"/>
    <x v="0"/>
    <n v="2020"/>
    <x v="0"/>
    <x v="0"/>
    <n v="95945"/>
    <n v="19189"/>
    <n v="76756"/>
  </r>
  <r>
    <x v="12"/>
    <x v="0"/>
    <n v="2020"/>
    <x v="0"/>
    <x v="7"/>
    <n v="228990"/>
    <n v="57247.5"/>
    <n v="171742.5"/>
  </r>
  <r>
    <x v="12"/>
    <x v="0"/>
    <n v="2020"/>
    <x v="1"/>
    <x v="5"/>
    <n v="170000"/>
    <n v="118999.99999999999"/>
    <n v="51000.000000000015"/>
  </r>
  <r>
    <x v="12"/>
    <x v="0"/>
    <n v="2020"/>
    <x v="2"/>
    <x v="3"/>
    <n v="490000"/>
    <n v="122500"/>
    <n v="367500"/>
  </r>
  <r>
    <x v="12"/>
    <x v="1"/>
    <n v="2020"/>
    <x v="3"/>
    <x v="6"/>
    <n v="535990"/>
    <n v="375193"/>
    <n v="160797"/>
  </r>
  <r>
    <x v="12"/>
    <x v="1"/>
    <n v="2020"/>
    <x v="2"/>
    <x v="0"/>
    <n v="365285"/>
    <n v="182642.5"/>
    <n v="182642.5"/>
  </r>
  <r>
    <x v="12"/>
    <x v="1"/>
    <n v="2020"/>
    <x v="1"/>
    <x v="7"/>
    <n v="365285"/>
    <n v="292228"/>
    <n v="73057"/>
  </r>
  <r>
    <x v="12"/>
    <x v="0"/>
    <n v="2020"/>
    <x v="0"/>
    <x v="4"/>
    <n v="228990"/>
    <n v="45798"/>
    <n v="183192"/>
  </r>
  <r>
    <x v="12"/>
    <x v="0"/>
    <n v="2020"/>
    <x v="1"/>
    <x v="6"/>
    <n v="66150"/>
    <n v="19845"/>
    <n v="46305"/>
  </r>
  <r>
    <x v="12"/>
    <x v="1"/>
    <n v="2020"/>
    <x v="2"/>
    <x v="7"/>
    <n v="365285"/>
    <n v="91321.25"/>
    <n v="273963.75"/>
  </r>
  <r>
    <x v="12"/>
    <x v="1"/>
    <n v="2020"/>
    <x v="3"/>
    <x v="1"/>
    <n v="95945"/>
    <n v="19189"/>
    <n v="76756"/>
  </r>
  <r>
    <x v="12"/>
    <x v="2"/>
    <n v="2020"/>
    <x v="1"/>
    <x v="6"/>
    <n v="490000"/>
    <n v="147000"/>
    <n v="343000"/>
  </r>
  <r>
    <x v="12"/>
    <x v="2"/>
    <n v="2020"/>
    <x v="1"/>
    <x v="4"/>
    <n v="599800"/>
    <n v="299900"/>
    <n v="299900"/>
  </r>
  <r>
    <x v="12"/>
    <x v="1"/>
    <n v="2020"/>
    <x v="0"/>
    <x v="2"/>
    <n v="120460"/>
    <n v="18069"/>
    <n v="102391"/>
  </r>
  <r>
    <x v="12"/>
    <x v="1"/>
    <n v="2020"/>
    <x v="0"/>
    <x v="0"/>
    <n v="535990"/>
    <n v="267995"/>
    <n v="267995"/>
  </r>
  <r>
    <x v="12"/>
    <x v="1"/>
    <n v="2020"/>
    <x v="1"/>
    <x v="6"/>
    <n v="27300"/>
    <n v="10920"/>
    <n v="16380"/>
  </r>
  <r>
    <x v="12"/>
    <x v="2"/>
    <n v="2020"/>
    <x v="2"/>
    <x v="6"/>
    <n v="415765"/>
    <n v="166306"/>
    <n v="249459"/>
  </r>
  <r>
    <x v="12"/>
    <x v="2"/>
    <n v="2020"/>
    <x v="3"/>
    <x v="4"/>
    <n v="95945"/>
    <n v="67161.5"/>
    <n v="28783.5"/>
  </r>
  <r>
    <x v="12"/>
    <x v="0"/>
    <n v="2020"/>
    <x v="3"/>
    <x v="5"/>
    <n v="535990"/>
    <n v="375193"/>
    <n v="160797"/>
  </r>
  <r>
    <x v="12"/>
    <x v="2"/>
    <n v="2020"/>
    <x v="0"/>
    <x v="0"/>
    <n v="490000"/>
    <n v="49000"/>
    <n v="441000"/>
  </r>
  <r>
    <x v="12"/>
    <x v="0"/>
    <n v="2020"/>
    <x v="1"/>
    <x v="2"/>
    <n v="228990"/>
    <n v="22899"/>
    <n v="206091"/>
  </r>
  <r>
    <x v="12"/>
    <x v="0"/>
    <n v="2020"/>
    <x v="2"/>
    <x v="4"/>
    <n v="170000"/>
    <n v="34000"/>
    <n v="136000"/>
  </r>
  <r>
    <x v="12"/>
    <x v="0"/>
    <n v="2020"/>
    <x v="3"/>
    <x v="1"/>
    <n v="27300"/>
    <n v="4095"/>
    <n v="23205"/>
  </r>
  <r>
    <x v="12"/>
    <x v="1"/>
    <n v="2020"/>
    <x v="3"/>
    <x v="2"/>
    <n v="415765"/>
    <n v="207882.5"/>
    <n v="207882.5"/>
  </r>
  <r>
    <x v="12"/>
    <x v="2"/>
    <n v="2020"/>
    <x v="0"/>
    <x v="3"/>
    <n v="27300"/>
    <n v="21840"/>
    <n v="5460"/>
  </r>
  <r>
    <x v="12"/>
    <x v="2"/>
    <n v="2020"/>
    <x v="0"/>
    <x v="4"/>
    <n v="95945"/>
    <n v="76756"/>
    <n v="19189"/>
  </r>
  <r>
    <x v="12"/>
    <x v="2"/>
    <n v="2020"/>
    <x v="0"/>
    <x v="2"/>
    <n v="120460"/>
    <n v="84322"/>
    <n v="36138"/>
  </r>
  <r>
    <x v="12"/>
    <x v="1"/>
    <n v="2020"/>
    <x v="3"/>
    <x v="3"/>
    <n v="95945"/>
    <n v="47972.5"/>
    <n v="47972.5"/>
  </r>
  <r>
    <x v="12"/>
    <x v="2"/>
    <n v="2020"/>
    <x v="0"/>
    <x v="7"/>
    <n v="170000"/>
    <n v="118999.99999999999"/>
    <n v="51000.000000000015"/>
  </r>
  <r>
    <x v="12"/>
    <x v="0"/>
    <n v="2020"/>
    <x v="0"/>
    <x v="5"/>
    <n v="365285"/>
    <n v="91321.25"/>
    <n v="273963.75"/>
  </r>
  <r>
    <x v="12"/>
    <x v="1"/>
    <n v="2020"/>
    <x v="2"/>
    <x v="1"/>
    <n v="170000"/>
    <n v="34000"/>
    <n v="136000"/>
  </r>
  <r>
    <x v="12"/>
    <x v="1"/>
    <n v="2020"/>
    <x v="2"/>
    <x v="1"/>
    <n v="535990"/>
    <n v="267995"/>
    <n v="267995"/>
  </r>
  <r>
    <x v="12"/>
    <x v="1"/>
    <n v="2020"/>
    <x v="3"/>
    <x v="5"/>
    <n v="365285"/>
    <n v="91321.25"/>
    <n v="273963.75"/>
  </r>
  <r>
    <x v="12"/>
    <x v="1"/>
    <n v="2020"/>
    <x v="3"/>
    <x v="5"/>
    <n v="490000"/>
    <n v="392000"/>
    <n v="98000"/>
  </r>
  <r>
    <x v="13"/>
    <x v="0"/>
    <n v="2020"/>
    <x v="0"/>
    <x v="1"/>
    <n v="535990"/>
    <n v="321594"/>
    <n v="214396"/>
  </r>
  <r>
    <x v="13"/>
    <x v="0"/>
    <n v="2020"/>
    <x v="0"/>
    <x v="6"/>
    <n v="27300"/>
    <n v="4095"/>
    <n v="23205"/>
  </r>
  <r>
    <x v="13"/>
    <x v="2"/>
    <n v="2020"/>
    <x v="0"/>
    <x v="4"/>
    <n v="27300"/>
    <n v="21840"/>
    <n v="5460"/>
  </r>
  <r>
    <x v="13"/>
    <x v="2"/>
    <n v="2020"/>
    <x v="2"/>
    <x v="5"/>
    <n v="535990"/>
    <n v="133997.5"/>
    <n v="401992.5"/>
  </r>
  <r>
    <x v="13"/>
    <x v="1"/>
    <n v="2020"/>
    <x v="3"/>
    <x v="1"/>
    <n v="415765"/>
    <n v="332612"/>
    <n v="83153"/>
  </r>
  <r>
    <x v="13"/>
    <x v="2"/>
    <n v="2020"/>
    <x v="1"/>
    <x v="0"/>
    <n v="415765"/>
    <n v="103941.25"/>
    <n v="311823.75"/>
  </r>
  <r>
    <x v="13"/>
    <x v="1"/>
    <n v="2020"/>
    <x v="1"/>
    <x v="6"/>
    <n v="365285"/>
    <n v="91321.25"/>
    <n v="273963.75"/>
  </r>
  <r>
    <x v="13"/>
    <x v="0"/>
    <n v="2020"/>
    <x v="1"/>
    <x v="0"/>
    <n v="535990"/>
    <n v="80398.5"/>
    <n v="455591.5"/>
  </r>
  <r>
    <x v="13"/>
    <x v="2"/>
    <n v="2020"/>
    <x v="1"/>
    <x v="0"/>
    <n v="228990"/>
    <n v="68697"/>
    <n v="160293"/>
  </r>
  <r>
    <x v="13"/>
    <x v="0"/>
    <n v="2020"/>
    <x v="0"/>
    <x v="1"/>
    <n v="120460"/>
    <n v="72276"/>
    <n v="48184"/>
  </r>
  <r>
    <x v="13"/>
    <x v="0"/>
    <n v="2020"/>
    <x v="0"/>
    <x v="6"/>
    <n v="120460"/>
    <n v="30115"/>
    <n v="90345"/>
  </r>
  <r>
    <x v="13"/>
    <x v="2"/>
    <n v="2020"/>
    <x v="0"/>
    <x v="5"/>
    <n v="27300"/>
    <n v="8190"/>
    <n v="19110"/>
  </r>
  <r>
    <x v="13"/>
    <x v="1"/>
    <n v="2020"/>
    <x v="3"/>
    <x v="2"/>
    <n v="599800"/>
    <n v="59980"/>
    <n v="539820"/>
  </r>
  <r>
    <x v="13"/>
    <x v="1"/>
    <n v="2020"/>
    <x v="0"/>
    <x v="0"/>
    <n v="66150"/>
    <n v="46305"/>
    <n v="19845"/>
  </r>
  <r>
    <x v="13"/>
    <x v="0"/>
    <n v="2020"/>
    <x v="3"/>
    <x v="4"/>
    <n v="95945"/>
    <n v="23986.25"/>
    <n v="71958.75"/>
  </r>
  <r>
    <x v="13"/>
    <x v="0"/>
    <n v="2020"/>
    <x v="1"/>
    <x v="2"/>
    <n v="599800"/>
    <n v="119960"/>
    <n v="479840"/>
  </r>
  <r>
    <x v="13"/>
    <x v="1"/>
    <n v="2020"/>
    <x v="3"/>
    <x v="2"/>
    <n v="365285"/>
    <n v="36528.5"/>
    <n v="328756.5"/>
  </r>
  <r>
    <x v="13"/>
    <x v="0"/>
    <n v="2020"/>
    <x v="2"/>
    <x v="1"/>
    <n v="27300"/>
    <n v="19110"/>
    <n v="8190"/>
  </r>
  <r>
    <x v="13"/>
    <x v="1"/>
    <n v="2020"/>
    <x v="1"/>
    <x v="3"/>
    <n v="300000"/>
    <n v="75000"/>
    <n v="225000"/>
  </r>
  <r>
    <x v="13"/>
    <x v="0"/>
    <n v="2020"/>
    <x v="3"/>
    <x v="4"/>
    <n v="300000"/>
    <n v="180000"/>
    <n v="120000"/>
  </r>
  <r>
    <x v="13"/>
    <x v="1"/>
    <n v="2020"/>
    <x v="3"/>
    <x v="0"/>
    <n v="300000"/>
    <n v="150000"/>
    <n v="150000"/>
  </r>
  <r>
    <x v="13"/>
    <x v="0"/>
    <n v="2020"/>
    <x v="3"/>
    <x v="5"/>
    <n v="599800"/>
    <n v="149950"/>
    <n v="449850"/>
  </r>
  <r>
    <x v="13"/>
    <x v="1"/>
    <n v="2020"/>
    <x v="0"/>
    <x v="0"/>
    <n v="170000"/>
    <n v="85000"/>
    <n v="85000"/>
  </r>
  <r>
    <x v="13"/>
    <x v="1"/>
    <n v="2020"/>
    <x v="0"/>
    <x v="7"/>
    <n v="27300"/>
    <n v="5460"/>
    <n v="21840"/>
  </r>
  <r>
    <x v="13"/>
    <x v="2"/>
    <n v="2020"/>
    <x v="0"/>
    <x v="2"/>
    <n v="228990"/>
    <n v="57247.5"/>
    <n v="171742.5"/>
  </r>
  <r>
    <x v="13"/>
    <x v="2"/>
    <n v="2020"/>
    <x v="3"/>
    <x v="0"/>
    <n v="365285"/>
    <n v="54792.75"/>
    <n v="310492.25"/>
  </r>
  <r>
    <x v="13"/>
    <x v="1"/>
    <n v="2020"/>
    <x v="2"/>
    <x v="5"/>
    <n v="170000"/>
    <n v="17000"/>
    <n v="153000"/>
  </r>
  <r>
    <x v="13"/>
    <x v="1"/>
    <n v="2020"/>
    <x v="0"/>
    <x v="3"/>
    <n v="415765"/>
    <n v="62364.75"/>
    <n v="353400.25"/>
  </r>
  <r>
    <x v="13"/>
    <x v="2"/>
    <n v="2020"/>
    <x v="3"/>
    <x v="1"/>
    <n v="120460"/>
    <n v="12046"/>
    <n v="108414"/>
  </r>
  <r>
    <x v="14"/>
    <x v="2"/>
    <n v="2020"/>
    <x v="2"/>
    <x v="0"/>
    <n v="300000"/>
    <n v="60000"/>
    <n v="240000"/>
  </r>
  <r>
    <x v="14"/>
    <x v="1"/>
    <n v="2020"/>
    <x v="1"/>
    <x v="6"/>
    <n v="300000"/>
    <n v="90000"/>
    <n v="210000"/>
  </r>
  <r>
    <x v="14"/>
    <x v="2"/>
    <n v="2020"/>
    <x v="3"/>
    <x v="0"/>
    <n v="490000"/>
    <n v="392000"/>
    <n v="98000"/>
  </r>
  <r>
    <x v="14"/>
    <x v="0"/>
    <n v="2020"/>
    <x v="1"/>
    <x v="7"/>
    <n v="490000"/>
    <n v="147000"/>
    <n v="343000"/>
  </r>
  <r>
    <x v="14"/>
    <x v="0"/>
    <n v="2020"/>
    <x v="2"/>
    <x v="7"/>
    <n v="300000"/>
    <n v="210000"/>
    <n v="90000"/>
  </r>
  <r>
    <x v="14"/>
    <x v="1"/>
    <n v="2020"/>
    <x v="1"/>
    <x v="0"/>
    <n v="27300"/>
    <n v="19110"/>
    <n v="8190"/>
  </r>
  <r>
    <x v="14"/>
    <x v="2"/>
    <n v="2020"/>
    <x v="0"/>
    <x v="2"/>
    <n v="120460"/>
    <n v="18069"/>
    <n v="102391"/>
  </r>
  <r>
    <x v="14"/>
    <x v="1"/>
    <n v="2020"/>
    <x v="2"/>
    <x v="1"/>
    <n v="490000"/>
    <n v="196000"/>
    <n v="294000"/>
  </r>
  <r>
    <x v="14"/>
    <x v="2"/>
    <n v="2020"/>
    <x v="3"/>
    <x v="1"/>
    <n v="170000"/>
    <n v="51000"/>
    <n v="119000"/>
  </r>
  <r>
    <x v="14"/>
    <x v="1"/>
    <n v="2020"/>
    <x v="3"/>
    <x v="4"/>
    <n v="490000"/>
    <n v="343000"/>
    <n v="147000"/>
  </r>
  <r>
    <x v="14"/>
    <x v="2"/>
    <n v="2020"/>
    <x v="3"/>
    <x v="0"/>
    <n v="170000"/>
    <n v="42500"/>
    <n v="127500"/>
  </r>
  <r>
    <x v="14"/>
    <x v="1"/>
    <n v="2020"/>
    <x v="0"/>
    <x v="2"/>
    <n v="415765"/>
    <n v="332612"/>
    <n v="83153"/>
  </r>
  <r>
    <x v="14"/>
    <x v="1"/>
    <n v="2020"/>
    <x v="1"/>
    <x v="6"/>
    <n v="170000"/>
    <n v="118999.99999999999"/>
    <n v="51000.000000000015"/>
  </r>
  <r>
    <x v="14"/>
    <x v="2"/>
    <n v="2020"/>
    <x v="3"/>
    <x v="7"/>
    <n v="228990"/>
    <n v="57247.5"/>
    <n v="171742.5"/>
  </r>
  <r>
    <x v="14"/>
    <x v="1"/>
    <n v="2020"/>
    <x v="2"/>
    <x v="0"/>
    <n v="599800"/>
    <n v="89970"/>
    <n v="509830"/>
  </r>
  <r>
    <x v="14"/>
    <x v="2"/>
    <n v="2020"/>
    <x v="3"/>
    <x v="5"/>
    <n v="300000"/>
    <n v="120000"/>
    <n v="180000"/>
  </r>
  <r>
    <x v="14"/>
    <x v="1"/>
    <n v="2020"/>
    <x v="1"/>
    <x v="7"/>
    <n v="66150"/>
    <n v="39690"/>
    <n v="26460"/>
  </r>
  <r>
    <x v="14"/>
    <x v="1"/>
    <n v="2020"/>
    <x v="1"/>
    <x v="2"/>
    <n v="599800"/>
    <n v="179940"/>
    <n v="419860"/>
  </r>
  <r>
    <x v="14"/>
    <x v="1"/>
    <n v="2020"/>
    <x v="0"/>
    <x v="6"/>
    <n v="170000"/>
    <n v="42500"/>
    <n v="127500"/>
  </r>
  <r>
    <x v="14"/>
    <x v="1"/>
    <n v="2020"/>
    <x v="3"/>
    <x v="0"/>
    <n v="599800"/>
    <n v="359880"/>
    <n v="239920"/>
  </r>
  <r>
    <x v="14"/>
    <x v="2"/>
    <n v="2020"/>
    <x v="2"/>
    <x v="5"/>
    <n v="365285"/>
    <n v="91321.25"/>
    <n v="273963.75"/>
  </r>
  <r>
    <x v="14"/>
    <x v="0"/>
    <n v="2020"/>
    <x v="3"/>
    <x v="5"/>
    <n v="66150"/>
    <n v="19845"/>
    <n v="46305"/>
  </r>
  <r>
    <x v="14"/>
    <x v="0"/>
    <n v="2020"/>
    <x v="0"/>
    <x v="3"/>
    <n v="228990"/>
    <n v="68697"/>
    <n v="160293"/>
  </r>
  <r>
    <x v="14"/>
    <x v="2"/>
    <n v="2020"/>
    <x v="1"/>
    <x v="5"/>
    <n v="300000"/>
    <n v="210000"/>
    <n v="90000"/>
  </r>
  <r>
    <x v="14"/>
    <x v="0"/>
    <n v="2020"/>
    <x v="1"/>
    <x v="1"/>
    <n v="95945"/>
    <n v="14391.75"/>
    <n v="81553.25"/>
  </r>
  <r>
    <x v="14"/>
    <x v="2"/>
    <n v="2020"/>
    <x v="2"/>
    <x v="5"/>
    <n v="66150"/>
    <n v="9922.5"/>
    <n v="56227.5"/>
  </r>
  <r>
    <x v="14"/>
    <x v="1"/>
    <n v="2020"/>
    <x v="2"/>
    <x v="4"/>
    <n v="415765"/>
    <n v="166306"/>
    <n v="249459"/>
  </r>
  <r>
    <x v="14"/>
    <x v="2"/>
    <n v="2020"/>
    <x v="3"/>
    <x v="6"/>
    <n v="66150"/>
    <n v="6615"/>
    <n v="59535"/>
  </r>
  <r>
    <x v="15"/>
    <x v="2"/>
    <n v="2020"/>
    <x v="3"/>
    <x v="2"/>
    <n v="490000"/>
    <n v="147000"/>
    <n v="343000"/>
  </r>
  <r>
    <x v="15"/>
    <x v="2"/>
    <n v="2020"/>
    <x v="2"/>
    <x v="6"/>
    <n v="170000"/>
    <n v="42500"/>
    <n v="127500"/>
  </r>
  <r>
    <x v="15"/>
    <x v="1"/>
    <n v="2020"/>
    <x v="0"/>
    <x v="7"/>
    <n v="27300"/>
    <n v="4095"/>
    <n v="23205"/>
  </r>
  <r>
    <x v="15"/>
    <x v="1"/>
    <n v="2020"/>
    <x v="1"/>
    <x v="0"/>
    <n v="490000"/>
    <n v="98000"/>
    <n v="392000"/>
  </r>
  <r>
    <x v="15"/>
    <x v="2"/>
    <n v="2020"/>
    <x v="2"/>
    <x v="3"/>
    <n v="120460"/>
    <n v="18069"/>
    <n v="102391"/>
  </r>
  <r>
    <x v="15"/>
    <x v="0"/>
    <n v="2020"/>
    <x v="2"/>
    <x v="6"/>
    <n v="490000"/>
    <n v="49000"/>
    <n v="441000"/>
  </r>
  <r>
    <x v="15"/>
    <x v="0"/>
    <n v="2020"/>
    <x v="3"/>
    <x v="7"/>
    <n v="120460"/>
    <n v="36138"/>
    <n v="84322"/>
  </r>
  <r>
    <x v="15"/>
    <x v="2"/>
    <n v="2020"/>
    <x v="3"/>
    <x v="4"/>
    <n v="95945"/>
    <n v="47972.5"/>
    <n v="47972.5"/>
  </r>
  <r>
    <x v="15"/>
    <x v="0"/>
    <n v="2020"/>
    <x v="2"/>
    <x v="6"/>
    <n v="490000"/>
    <n v="294000"/>
    <n v="196000"/>
  </r>
  <r>
    <x v="15"/>
    <x v="2"/>
    <n v="2020"/>
    <x v="1"/>
    <x v="0"/>
    <n v="490000"/>
    <n v="294000"/>
    <n v="196000"/>
  </r>
  <r>
    <x v="15"/>
    <x v="2"/>
    <n v="2020"/>
    <x v="1"/>
    <x v="6"/>
    <n v="415765"/>
    <n v="103941.25"/>
    <n v="311823.75"/>
  </r>
  <r>
    <x v="15"/>
    <x v="2"/>
    <n v="2020"/>
    <x v="1"/>
    <x v="6"/>
    <n v="228990"/>
    <n v="45798"/>
    <n v="183192"/>
  </r>
  <r>
    <x v="15"/>
    <x v="0"/>
    <n v="2020"/>
    <x v="3"/>
    <x v="2"/>
    <n v="599800"/>
    <n v="119960"/>
    <n v="479840"/>
  </r>
  <r>
    <x v="15"/>
    <x v="0"/>
    <n v="2020"/>
    <x v="2"/>
    <x v="5"/>
    <n v="490000"/>
    <n v="245000"/>
    <n v="245000"/>
  </r>
  <r>
    <x v="15"/>
    <x v="0"/>
    <n v="2020"/>
    <x v="1"/>
    <x v="2"/>
    <n v="490000"/>
    <n v="392000"/>
    <n v="98000"/>
  </r>
  <r>
    <x v="15"/>
    <x v="1"/>
    <n v="2020"/>
    <x v="3"/>
    <x v="1"/>
    <n v="120460"/>
    <n v="30115"/>
    <n v="90345"/>
  </r>
  <r>
    <x v="15"/>
    <x v="0"/>
    <n v="2020"/>
    <x v="0"/>
    <x v="7"/>
    <n v="120460"/>
    <n v="30115"/>
    <n v="90345"/>
  </r>
  <r>
    <x v="15"/>
    <x v="2"/>
    <n v="2020"/>
    <x v="1"/>
    <x v="3"/>
    <n v="300000"/>
    <n v="75000"/>
    <n v="225000"/>
  </r>
  <r>
    <x v="15"/>
    <x v="0"/>
    <n v="2020"/>
    <x v="2"/>
    <x v="1"/>
    <n v="170000"/>
    <n v="25500"/>
    <n v="144500"/>
  </r>
  <r>
    <x v="15"/>
    <x v="0"/>
    <n v="2020"/>
    <x v="2"/>
    <x v="7"/>
    <n v="490000"/>
    <n v="196000"/>
    <n v="294000"/>
  </r>
  <r>
    <x v="15"/>
    <x v="0"/>
    <n v="2020"/>
    <x v="0"/>
    <x v="1"/>
    <n v="599800"/>
    <n v="89970"/>
    <n v="509830"/>
  </r>
  <r>
    <x v="15"/>
    <x v="0"/>
    <n v="2020"/>
    <x v="0"/>
    <x v="1"/>
    <n v="490000"/>
    <n v="392000"/>
    <n v="98000"/>
  </r>
  <r>
    <x v="15"/>
    <x v="0"/>
    <n v="2020"/>
    <x v="2"/>
    <x v="4"/>
    <n v="365285"/>
    <n v="54792.75"/>
    <n v="310492.25"/>
  </r>
  <r>
    <x v="15"/>
    <x v="1"/>
    <n v="2020"/>
    <x v="0"/>
    <x v="6"/>
    <n v="170000"/>
    <n v="102000"/>
    <n v="68000"/>
  </r>
  <r>
    <x v="15"/>
    <x v="2"/>
    <n v="2020"/>
    <x v="1"/>
    <x v="1"/>
    <n v="66150"/>
    <n v="46305"/>
    <n v="19845"/>
  </r>
  <r>
    <x v="15"/>
    <x v="0"/>
    <n v="2020"/>
    <x v="0"/>
    <x v="2"/>
    <n v="170000"/>
    <n v="42500"/>
    <n v="127500"/>
  </r>
  <r>
    <x v="15"/>
    <x v="1"/>
    <n v="2020"/>
    <x v="2"/>
    <x v="5"/>
    <n v="95945"/>
    <n v="76756"/>
    <n v="19189"/>
  </r>
  <r>
    <x v="16"/>
    <x v="1"/>
    <n v="2020"/>
    <x v="0"/>
    <x v="1"/>
    <n v="120460"/>
    <n v="12046"/>
    <n v="108414"/>
  </r>
  <r>
    <x v="16"/>
    <x v="0"/>
    <n v="2020"/>
    <x v="3"/>
    <x v="1"/>
    <n v="120460"/>
    <n v="96368"/>
    <n v="24092"/>
  </r>
  <r>
    <x v="16"/>
    <x v="0"/>
    <n v="2020"/>
    <x v="1"/>
    <x v="5"/>
    <n v="415765"/>
    <n v="124729.5"/>
    <n v="291035.5"/>
  </r>
  <r>
    <x v="16"/>
    <x v="2"/>
    <n v="2020"/>
    <x v="0"/>
    <x v="4"/>
    <n v="300000"/>
    <n v="60000"/>
    <n v="240000"/>
  </r>
  <r>
    <x v="16"/>
    <x v="0"/>
    <n v="2020"/>
    <x v="3"/>
    <x v="7"/>
    <n v="27300"/>
    <n v="13650"/>
    <n v="13650"/>
  </r>
  <r>
    <x v="16"/>
    <x v="0"/>
    <n v="2020"/>
    <x v="2"/>
    <x v="6"/>
    <n v="66150"/>
    <n v="52920"/>
    <n v="13230"/>
  </r>
  <r>
    <x v="16"/>
    <x v="0"/>
    <n v="2020"/>
    <x v="3"/>
    <x v="5"/>
    <n v="120460"/>
    <n v="84322"/>
    <n v="36138"/>
  </r>
  <r>
    <x v="16"/>
    <x v="2"/>
    <n v="2020"/>
    <x v="2"/>
    <x v="0"/>
    <n v="95945"/>
    <n v="76756"/>
    <n v="19189"/>
  </r>
  <r>
    <x v="16"/>
    <x v="1"/>
    <n v="2020"/>
    <x v="1"/>
    <x v="6"/>
    <n v="120460"/>
    <n v="30115"/>
    <n v="90345"/>
  </r>
  <r>
    <x v="16"/>
    <x v="0"/>
    <n v="2020"/>
    <x v="1"/>
    <x v="3"/>
    <n v="415765"/>
    <n v="207882.5"/>
    <n v="207882.5"/>
  </r>
  <r>
    <x v="16"/>
    <x v="1"/>
    <n v="2020"/>
    <x v="0"/>
    <x v="6"/>
    <n v="300000"/>
    <n v="60000"/>
    <n v="240000"/>
  </r>
  <r>
    <x v="16"/>
    <x v="2"/>
    <n v="2020"/>
    <x v="1"/>
    <x v="3"/>
    <n v="490000"/>
    <n v="147000"/>
    <n v="343000"/>
  </r>
  <r>
    <x v="16"/>
    <x v="1"/>
    <n v="2020"/>
    <x v="2"/>
    <x v="7"/>
    <n v="66150"/>
    <n v="9922.5"/>
    <n v="56227.5"/>
  </r>
  <r>
    <x v="16"/>
    <x v="1"/>
    <n v="2020"/>
    <x v="2"/>
    <x v="1"/>
    <n v="27300"/>
    <n v="5460"/>
    <n v="21840"/>
  </r>
  <r>
    <x v="16"/>
    <x v="0"/>
    <n v="2020"/>
    <x v="2"/>
    <x v="1"/>
    <n v="228990"/>
    <n v="57247.5"/>
    <n v="171742.5"/>
  </r>
  <r>
    <x v="16"/>
    <x v="0"/>
    <n v="2020"/>
    <x v="3"/>
    <x v="4"/>
    <n v="599800"/>
    <n v="419860"/>
    <n v="179940"/>
  </r>
  <r>
    <x v="16"/>
    <x v="1"/>
    <n v="2020"/>
    <x v="0"/>
    <x v="4"/>
    <n v="95945"/>
    <n v="19189"/>
    <n v="76756"/>
  </r>
  <r>
    <x v="16"/>
    <x v="2"/>
    <n v="2020"/>
    <x v="1"/>
    <x v="1"/>
    <n v="365285"/>
    <n v="91321.25"/>
    <n v="273963.75"/>
  </r>
  <r>
    <x v="16"/>
    <x v="0"/>
    <n v="2020"/>
    <x v="0"/>
    <x v="4"/>
    <n v="490000"/>
    <n v="245000"/>
    <n v="245000"/>
  </r>
  <r>
    <x v="16"/>
    <x v="0"/>
    <n v="2020"/>
    <x v="1"/>
    <x v="6"/>
    <n v="27300"/>
    <n v="2730"/>
    <n v="24570"/>
  </r>
  <r>
    <x v="16"/>
    <x v="2"/>
    <n v="2020"/>
    <x v="0"/>
    <x v="6"/>
    <n v="415765"/>
    <n v="332612"/>
    <n v="83153"/>
  </r>
  <r>
    <x v="16"/>
    <x v="2"/>
    <n v="2020"/>
    <x v="3"/>
    <x v="7"/>
    <n v="228990"/>
    <n v="22899"/>
    <n v="206091"/>
  </r>
  <r>
    <x v="16"/>
    <x v="0"/>
    <n v="2020"/>
    <x v="3"/>
    <x v="0"/>
    <n v="228990"/>
    <n v="114495"/>
    <n v="114495"/>
  </r>
  <r>
    <x v="16"/>
    <x v="1"/>
    <n v="2020"/>
    <x v="3"/>
    <x v="6"/>
    <n v="599800"/>
    <n v="359880"/>
    <n v="239920"/>
  </r>
  <r>
    <x v="16"/>
    <x v="2"/>
    <n v="2020"/>
    <x v="0"/>
    <x v="7"/>
    <n v="599800"/>
    <n v="119960"/>
    <n v="479840"/>
  </r>
  <r>
    <x v="16"/>
    <x v="1"/>
    <n v="2020"/>
    <x v="3"/>
    <x v="3"/>
    <n v="365285"/>
    <n v="54792.75"/>
    <n v="310492.25"/>
  </r>
  <r>
    <x v="16"/>
    <x v="1"/>
    <n v="2020"/>
    <x v="1"/>
    <x v="5"/>
    <n v="95945"/>
    <n v="67161.5"/>
    <n v="28783.5"/>
  </r>
  <r>
    <x v="16"/>
    <x v="2"/>
    <n v="2020"/>
    <x v="2"/>
    <x v="0"/>
    <n v="490000"/>
    <n v="122500"/>
    <n v="367500"/>
  </r>
  <r>
    <x v="16"/>
    <x v="2"/>
    <n v="2020"/>
    <x v="0"/>
    <x v="5"/>
    <n v="66150"/>
    <n v="13230"/>
    <n v="52920"/>
  </r>
  <r>
    <x v="16"/>
    <x v="2"/>
    <n v="2020"/>
    <x v="3"/>
    <x v="1"/>
    <n v="120460"/>
    <n v="30115"/>
    <n v="90345"/>
  </r>
  <r>
    <x v="16"/>
    <x v="2"/>
    <n v="2020"/>
    <x v="1"/>
    <x v="2"/>
    <n v="535990"/>
    <n v="160797"/>
    <n v="375193"/>
  </r>
  <r>
    <x v="16"/>
    <x v="0"/>
    <n v="2020"/>
    <x v="2"/>
    <x v="5"/>
    <n v="27300"/>
    <n v="6825"/>
    <n v="20475"/>
  </r>
  <r>
    <x v="16"/>
    <x v="1"/>
    <n v="2020"/>
    <x v="3"/>
    <x v="1"/>
    <n v="490000"/>
    <n v="98000"/>
    <n v="392000"/>
  </r>
  <r>
    <x v="16"/>
    <x v="0"/>
    <n v="2020"/>
    <x v="3"/>
    <x v="4"/>
    <n v="300000"/>
    <n v="120000"/>
    <n v="180000"/>
  </r>
  <r>
    <x v="16"/>
    <x v="2"/>
    <n v="2020"/>
    <x v="0"/>
    <x v="0"/>
    <n v="228990"/>
    <n v="91596"/>
    <n v="137394"/>
  </r>
  <r>
    <x v="17"/>
    <x v="0"/>
    <n v="2020"/>
    <x v="1"/>
    <x v="5"/>
    <n v="170000"/>
    <n v="118999.99999999999"/>
    <n v="51000.000000000015"/>
  </r>
  <r>
    <x v="17"/>
    <x v="0"/>
    <n v="2020"/>
    <x v="3"/>
    <x v="2"/>
    <n v="66150"/>
    <n v="19845"/>
    <n v="46305"/>
  </r>
  <r>
    <x v="17"/>
    <x v="2"/>
    <n v="2020"/>
    <x v="2"/>
    <x v="2"/>
    <n v="365285"/>
    <n v="255699.49999999997"/>
    <n v="109585.50000000003"/>
  </r>
  <r>
    <x v="17"/>
    <x v="0"/>
    <n v="2020"/>
    <x v="3"/>
    <x v="1"/>
    <n v="365285"/>
    <n v="54792.75"/>
    <n v="310492.25"/>
  </r>
  <r>
    <x v="17"/>
    <x v="0"/>
    <n v="2020"/>
    <x v="3"/>
    <x v="7"/>
    <n v="120460"/>
    <n v="24092"/>
    <n v="96368"/>
  </r>
  <r>
    <x v="17"/>
    <x v="2"/>
    <n v="2020"/>
    <x v="2"/>
    <x v="5"/>
    <n v="95945"/>
    <n v="38378"/>
    <n v="57567"/>
  </r>
  <r>
    <x v="17"/>
    <x v="1"/>
    <n v="2020"/>
    <x v="0"/>
    <x v="0"/>
    <n v="599800"/>
    <n v="239920"/>
    <n v="359880"/>
  </r>
  <r>
    <x v="17"/>
    <x v="1"/>
    <n v="2020"/>
    <x v="2"/>
    <x v="6"/>
    <n v="170000"/>
    <n v="118999.99999999999"/>
    <n v="51000.000000000015"/>
  </r>
  <r>
    <x v="17"/>
    <x v="2"/>
    <n v="2020"/>
    <x v="2"/>
    <x v="2"/>
    <n v="300000"/>
    <n v="60000"/>
    <n v="240000"/>
  </r>
  <r>
    <x v="17"/>
    <x v="1"/>
    <n v="2020"/>
    <x v="0"/>
    <x v="3"/>
    <n v="490000"/>
    <n v="392000"/>
    <n v="98000"/>
  </r>
  <r>
    <x v="17"/>
    <x v="2"/>
    <n v="2020"/>
    <x v="1"/>
    <x v="6"/>
    <n v="535990"/>
    <n v="321594"/>
    <n v="214396"/>
  </r>
  <r>
    <x v="17"/>
    <x v="0"/>
    <n v="2020"/>
    <x v="3"/>
    <x v="6"/>
    <n v="415765"/>
    <n v="249459"/>
    <n v="166306"/>
  </r>
  <r>
    <x v="17"/>
    <x v="1"/>
    <n v="2020"/>
    <x v="3"/>
    <x v="4"/>
    <n v="228990"/>
    <n v="91596"/>
    <n v="137394"/>
  </r>
  <r>
    <x v="17"/>
    <x v="0"/>
    <n v="2020"/>
    <x v="2"/>
    <x v="5"/>
    <n v="490000"/>
    <n v="343000"/>
    <n v="147000"/>
  </r>
  <r>
    <x v="17"/>
    <x v="0"/>
    <n v="2020"/>
    <x v="1"/>
    <x v="1"/>
    <n v="66150"/>
    <n v="9922.5"/>
    <n v="56227.5"/>
  </r>
  <r>
    <x v="17"/>
    <x v="0"/>
    <n v="2020"/>
    <x v="3"/>
    <x v="5"/>
    <n v="170000"/>
    <n v="25500"/>
    <n v="144500"/>
  </r>
  <r>
    <x v="17"/>
    <x v="0"/>
    <n v="2020"/>
    <x v="2"/>
    <x v="2"/>
    <n v="535990"/>
    <n v="375193"/>
    <n v="160797"/>
  </r>
  <r>
    <x v="17"/>
    <x v="1"/>
    <n v="2020"/>
    <x v="2"/>
    <x v="0"/>
    <n v="120460"/>
    <n v="24092"/>
    <n v="96368"/>
  </r>
  <r>
    <x v="17"/>
    <x v="2"/>
    <n v="2020"/>
    <x v="1"/>
    <x v="2"/>
    <n v="415765"/>
    <n v="249459"/>
    <n v="166306"/>
  </r>
  <r>
    <x v="17"/>
    <x v="0"/>
    <n v="2020"/>
    <x v="2"/>
    <x v="7"/>
    <n v="599800"/>
    <n v="299900"/>
    <n v="299900"/>
  </r>
  <r>
    <x v="17"/>
    <x v="0"/>
    <n v="2020"/>
    <x v="3"/>
    <x v="0"/>
    <n v="95945"/>
    <n v="76756"/>
    <n v="19189"/>
  </r>
  <r>
    <x v="17"/>
    <x v="1"/>
    <n v="2020"/>
    <x v="3"/>
    <x v="5"/>
    <n v="120460"/>
    <n v="12046"/>
    <n v="108414"/>
  </r>
  <r>
    <x v="17"/>
    <x v="1"/>
    <n v="2020"/>
    <x v="3"/>
    <x v="2"/>
    <n v="599800"/>
    <n v="419860"/>
    <n v="179940"/>
  </r>
  <r>
    <x v="17"/>
    <x v="1"/>
    <n v="2020"/>
    <x v="2"/>
    <x v="5"/>
    <n v="27300"/>
    <n v="13650"/>
    <n v="13650"/>
  </r>
  <r>
    <x v="17"/>
    <x v="2"/>
    <n v="2020"/>
    <x v="1"/>
    <x v="6"/>
    <n v="228990"/>
    <n v="57247.5"/>
    <n v="171742.5"/>
  </r>
  <r>
    <x v="17"/>
    <x v="2"/>
    <n v="2020"/>
    <x v="2"/>
    <x v="3"/>
    <n v="490000"/>
    <n v="392000"/>
    <n v="98000"/>
  </r>
  <r>
    <x v="17"/>
    <x v="2"/>
    <n v="2020"/>
    <x v="1"/>
    <x v="0"/>
    <n v="599800"/>
    <n v="119960"/>
    <n v="479840"/>
  </r>
  <r>
    <x v="17"/>
    <x v="0"/>
    <n v="2020"/>
    <x v="2"/>
    <x v="1"/>
    <n v="95945"/>
    <n v="57567"/>
    <n v="38378"/>
  </r>
  <r>
    <x v="17"/>
    <x v="1"/>
    <n v="2020"/>
    <x v="1"/>
    <x v="4"/>
    <n v="490000"/>
    <n v="343000"/>
    <n v="147000"/>
  </r>
  <r>
    <x v="17"/>
    <x v="0"/>
    <n v="2020"/>
    <x v="3"/>
    <x v="7"/>
    <n v="599800"/>
    <n v="59980"/>
    <n v="539820"/>
  </r>
  <r>
    <x v="17"/>
    <x v="2"/>
    <n v="2020"/>
    <x v="2"/>
    <x v="6"/>
    <n v="599800"/>
    <n v="359880"/>
    <n v="239920"/>
  </r>
  <r>
    <x v="18"/>
    <x v="2"/>
    <n v="2020"/>
    <x v="2"/>
    <x v="2"/>
    <n v="415765"/>
    <n v="207882.5"/>
    <n v="207882.5"/>
  </r>
  <r>
    <x v="18"/>
    <x v="1"/>
    <n v="2020"/>
    <x v="3"/>
    <x v="7"/>
    <n v="66150"/>
    <n v="19845"/>
    <n v="46305"/>
  </r>
  <r>
    <x v="18"/>
    <x v="1"/>
    <n v="2020"/>
    <x v="0"/>
    <x v="0"/>
    <n v="535990"/>
    <n v="107198"/>
    <n v="428792"/>
  </r>
  <r>
    <x v="18"/>
    <x v="1"/>
    <n v="2020"/>
    <x v="1"/>
    <x v="3"/>
    <n v="27300"/>
    <n v="16380"/>
    <n v="10920"/>
  </r>
  <r>
    <x v="18"/>
    <x v="0"/>
    <n v="2020"/>
    <x v="2"/>
    <x v="0"/>
    <n v="300000"/>
    <n v="180000"/>
    <n v="120000"/>
  </r>
  <r>
    <x v="18"/>
    <x v="2"/>
    <n v="2020"/>
    <x v="0"/>
    <x v="3"/>
    <n v="415765"/>
    <n v="249459"/>
    <n v="166306"/>
  </r>
  <r>
    <x v="18"/>
    <x v="1"/>
    <n v="2020"/>
    <x v="3"/>
    <x v="4"/>
    <n v="365285"/>
    <n v="255699.49999999997"/>
    <n v="109585.50000000003"/>
  </r>
  <r>
    <x v="18"/>
    <x v="2"/>
    <n v="2020"/>
    <x v="0"/>
    <x v="2"/>
    <n v="170000"/>
    <n v="136000"/>
    <n v="34000"/>
  </r>
  <r>
    <x v="18"/>
    <x v="2"/>
    <n v="2020"/>
    <x v="2"/>
    <x v="6"/>
    <n v="415765"/>
    <n v="41576.5"/>
    <n v="374188.5"/>
  </r>
  <r>
    <x v="18"/>
    <x v="2"/>
    <n v="2020"/>
    <x v="0"/>
    <x v="0"/>
    <n v="170000"/>
    <n v="17000"/>
    <n v="153000"/>
  </r>
  <r>
    <x v="18"/>
    <x v="0"/>
    <n v="2020"/>
    <x v="1"/>
    <x v="2"/>
    <n v="415765"/>
    <n v="62364.75"/>
    <n v="353400.25"/>
  </r>
  <r>
    <x v="18"/>
    <x v="1"/>
    <n v="2020"/>
    <x v="2"/>
    <x v="4"/>
    <n v="365285"/>
    <n v="73057"/>
    <n v="292228"/>
  </r>
  <r>
    <x v="18"/>
    <x v="1"/>
    <n v="2020"/>
    <x v="0"/>
    <x v="1"/>
    <n v="170000"/>
    <n v="68000"/>
    <n v="102000"/>
  </r>
  <r>
    <x v="18"/>
    <x v="2"/>
    <n v="2020"/>
    <x v="0"/>
    <x v="4"/>
    <n v="120460"/>
    <n v="84322"/>
    <n v="36138"/>
  </r>
  <r>
    <x v="18"/>
    <x v="2"/>
    <n v="2020"/>
    <x v="0"/>
    <x v="6"/>
    <n v="228990"/>
    <n v="114495"/>
    <n v="114495"/>
  </r>
  <r>
    <x v="18"/>
    <x v="2"/>
    <n v="2020"/>
    <x v="2"/>
    <x v="7"/>
    <n v="27300"/>
    <n v="21840"/>
    <n v="5460"/>
  </r>
  <r>
    <x v="18"/>
    <x v="2"/>
    <n v="2020"/>
    <x v="0"/>
    <x v="7"/>
    <n v="66150"/>
    <n v="6615"/>
    <n v="59535"/>
  </r>
  <r>
    <x v="18"/>
    <x v="0"/>
    <n v="2020"/>
    <x v="3"/>
    <x v="2"/>
    <n v="170000"/>
    <n v="51000"/>
    <n v="119000"/>
  </r>
  <r>
    <x v="18"/>
    <x v="0"/>
    <n v="2020"/>
    <x v="3"/>
    <x v="6"/>
    <n v="95945"/>
    <n v="23986.25"/>
    <n v="71958.75"/>
  </r>
  <r>
    <x v="18"/>
    <x v="0"/>
    <n v="2020"/>
    <x v="3"/>
    <x v="4"/>
    <n v="27300"/>
    <n v="8190"/>
    <n v="19110"/>
  </r>
  <r>
    <x v="18"/>
    <x v="1"/>
    <n v="2020"/>
    <x v="2"/>
    <x v="1"/>
    <n v="490000"/>
    <n v="196000"/>
    <n v="294000"/>
  </r>
  <r>
    <x v="18"/>
    <x v="0"/>
    <n v="2020"/>
    <x v="0"/>
    <x v="0"/>
    <n v="535990"/>
    <n v="160797"/>
    <n v="375193"/>
  </r>
  <r>
    <x v="18"/>
    <x v="1"/>
    <n v="2020"/>
    <x v="1"/>
    <x v="2"/>
    <n v="415765"/>
    <n v="207882.5"/>
    <n v="207882.5"/>
  </r>
  <r>
    <x v="18"/>
    <x v="2"/>
    <n v="2020"/>
    <x v="0"/>
    <x v="3"/>
    <n v="120460"/>
    <n v="12046"/>
    <n v="108414"/>
  </r>
  <r>
    <x v="18"/>
    <x v="2"/>
    <n v="2020"/>
    <x v="0"/>
    <x v="3"/>
    <n v="120460"/>
    <n v="12046"/>
    <n v="108414"/>
  </r>
  <r>
    <x v="18"/>
    <x v="1"/>
    <n v="2020"/>
    <x v="2"/>
    <x v="7"/>
    <n v="120460"/>
    <n v="24092"/>
    <n v="96368"/>
  </r>
  <r>
    <x v="18"/>
    <x v="2"/>
    <n v="2020"/>
    <x v="3"/>
    <x v="7"/>
    <n v="490000"/>
    <n v="343000"/>
    <n v="147000"/>
  </r>
  <r>
    <x v="18"/>
    <x v="0"/>
    <n v="2020"/>
    <x v="2"/>
    <x v="6"/>
    <n v="535990"/>
    <n v="267995"/>
    <n v="267995"/>
  </r>
  <r>
    <x v="18"/>
    <x v="0"/>
    <n v="2020"/>
    <x v="2"/>
    <x v="1"/>
    <n v="170000"/>
    <n v="136000"/>
    <n v="34000"/>
  </r>
  <r>
    <x v="18"/>
    <x v="2"/>
    <n v="2020"/>
    <x v="3"/>
    <x v="7"/>
    <n v="27300"/>
    <n v="21840"/>
    <n v="5460"/>
  </r>
  <r>
    <x v="18"/>
    <x v="2"/>
    <n v="2020"/>
    <x v="2"/>
    <x v="1"/>
    <n v="535990"/>
    <n v="375193"/>
    <n v="160797"/>
  </r>
  <r>
    <x v="18"/>
    <x v="2"/>
    <n v="2020"/>
    <x v="2"/>
    <x v="1"/>
    <n v="599800"/>
    <n v="149950"/>
    <n v="449850"/>
  </r>
  <r>
    <x v="18"/>
    <x v="1"/>
    <n v="2020"/>
    <x v="0"/>
    <x v="3"/>
    <n v="27300"/>
    <n v="8190"/>
    <n v="19110"/>
  </r>
  <r>
    <x v="18"/>
    <x v="1"/>
    <n v="2020"/>
    <x v="2"/>
    <x v="4"/>
    <n v="66150"/>
    <n v="39690"/>
    <n v="26460"/>
  </r>
  <r>
    <x v="18"/>
    <x v="0"/>
    <n v="2020"/>
    <x v="0"/>
    <x v="2"/>
    <n v="27300"/>
    <n v="16380"/>
    <n v="10920"/>
  </r>
  <r>
    <x v="18"/>
    <x v="2"/>
    <n v="2020"/>
    <x v="1"/>
    <x v="1"/>
    <n v="300000"/>
    <n v="150000"/>
    <n v="150000"/>
  </r>
  <r>
    <x v="18"/>
    <x v="1"/>
    <n v="2020"/>
    <x v="0"/>
    <x v="7"/>
    <n v="415765"/>
    <n v="124729.5"/>
    <n v="291035.5"/>
  </r>
  <r>
    <x v="18"/>
    <x v="0"/>
    <n v="2020"/>
    <x v="1"/>
    <x v="6"/>
    <n v="300000"/>
    <n v="240000"/>
    <n v="6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58B0EA-D158-4604-8A40-E3ACE9BC4EF1}" name="TablaDinámica9" cacheId="3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K1:P13" firstHeaderRow="1" firstDataRow="2" firstDataCol="1"/>
  <pivotFields count="9">
    <pivotField axis="axisRow" showAll="0" measureFilter="1" sortType="de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h="1" x="0"/>
        <item h="1" x="1"/>
        <item x="2"/>
        <item t="default"/>
      </items>
    </pivotField>
    <pivotField showAll="0"/>
    <pivotField axis="axisCol" showAll="0">
      <items count="5">
        <item x="3"/>
        <item x="1"/>
        <item x="2"/>
        <item x="0"/>
        <item t="default"/>
      </items>
    </pivotField>
    <pivotField showAll="0">
      <items count="9">
        <item x="3"/>
        <item x="4"/>
        <item x="2"/>
        <item x="7"/>
        <item x="0"/>
        <item x="1"/>
        <item x="6"/>
        <item x="5"/>
        <item t="default"/>
      </items>
    </pivotField>
    <pivotField dataField="1" numFmtId="166" showAll="0"/>
    <pivotField numFmtId="166" showAll="0"/>
    <pivotField numFmtId="166" showAll="0"/>
    <pivotField dragToRow="0" dragToCol="0" dragToPage="0" showAll="0" defaultSubtotal="0"/>
  </pivotFields>
  <rowFields count="1">
    <field x="0"/>
  </rowFields>
  <rowItems count="11">
    <i>
      <x v="3"/>
    </i>
    <i>
      <x v="8"/>
    </i>
    <i>
      <x v="11"/>
    </i>
    <i>
      <x v="18"/>
    </i>
    <i>
      <x v="16"/>
    </i>
    <i>
      <x v="7"/>
    </i>
    <i>
      <x v="9"/>
    </i>
    <i>
      <x v="17"/>
    </i>
    <i>
      <x v="4"/>
    </i>
    <i>
      <x v="2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uma de Ingresos" fld="5" baseField="0" baseItem="0"/>
  </dataFields>
  <conditionalFormats count="10">
    <conditionalFormat priority="10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8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3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2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7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4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8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7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2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6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0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</conditional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A12C8-F1E6-4FE8-8F9B-4F1132DC1D0A}" name="TablaDinámica8" cacheId="3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F1:I12" firstHeaderRow="0" firstDataRow="1" firstDataCol="1"/>
  <pivotFields count="9">
    <pivotField axis="axisRow" showAll="0" measureFilter="1" sortType="de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h="1" x="0"/>
        <item h="1" x="1"/>
        <item x="2"/>
        <item t="default"/>
      </items>
    </pivotField>
    <pivotField showAll="0"/>
    <pivotField showAll="0"/>
    <pivotField showAll="0">
      <items count="9">
        <item x="3"/>
        <item x="4"/>
        <item x="2"/>
        <item x="7"/>
        <item x="0"/>
        <item x="1"/>
        <item x="6"/>
        <item x="5"/>
        <item t="default"/>
      </items>
    </pivotField>
    <pivotField dataField="1" numFmtId="166" showAll="0"/>
    <pivotField numFmtId="166" showAll="0"/>
    <pivotField dataField="1" numFmtId="166" showAll="0"/>
    <pivotField dataField="1" dragToRow="0" dragToCol="0" dragToPage="0" showAll="0" defaultSubtotal="0"/>
  </pivotFields>
  <rowFields count="1">
    <field x="0"/>
  </rowFields>
  <rowItems count="11">
    <i>
      <x v="3"/>
    </i>
    <i>
      <x v="8"/>
    </i>
    <i>
      <x v="11"/>
    </i>
    <i>
      <x v="18"/>
    </i>
    <i>
      <x v="16"/>
    </i>
    <i>
      <x v="7"/>
    </i>
    <i>
      <x v="9"/>
    </i>
    <i>
      <x v="17"/>
    </i>
    <i>
      <x v="4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Ingresos" fld="5" baseField="0" baseItem="0"/>
    <dataField name="Suma de utilidad" fld="7" baseField="0" baseItem="0"/>
    <dataField name="Suma de Margen" fld="8" baseField="0" baseItem="0" numFmtId="10"/>
  </dataFields>
  <formats count="1">
    <format dxfId="1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onditionalFormats count="3">
    <conditionalFormat priority="13">
      <pivotAreas count="2"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2"/>
              <x v="3"/>
              <x v="4"/>
              <x v="8"/>
              <x v="17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0"/>
              <x v="7"/>
              <x v="12"/>
              <x v="16"/>
              <x v="18"/>
            </reference>
          </references>
        </pivotArea>
      </pivotAreas>
    </conditionalFormat>
    <conditionalFormat priority="12">
      <pivotAreas count="2">
        <pivotArea type="data" collapsedLevelsAreSubtotals="1" fieldPosition="0">
          <references count="2">
            <reference field="4294967294" count="1" selected="0">
              <x v="1"/>
            </reference>
            <reference field="0" count="5">
              <x v="2"/>
              <x v="3"/>
              <x v="4"/>
              <x v="8"/>
              <x v="17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5">
              <x v="0"/>
              <x v="7"/>
              <x v="12"/>
              <x v="16"/>
              <x v="18"/>
            </reference>
          </references>
        </pivotArea>
      </pivotAreas>
    </conditionalFormat>
    <conditionalFormat priority="11">
      <pivotAreas count="2">
        <pivotArea type="data" collapsedLevelsAreSubtotals="1" fieldPosition="0">
          <references count="2">
            <reference field="4294967294" count="1" selected="0">
              <x v="2"/>
            </reference>
            <reference field="0" count="5">
              <x v="2"/>
              <x v="3"/>
              <x v="4"/>
              <x v="8"/>
              <x v="17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5">
              <x v="0"/>
              <x v="7"/>
              <x v="12"/>
              <x v="16"/>
              <x v="18"/>
            </reference>
          </references>
        </pivotArea>
      </pivotAreas>
    </conditionalFormat>
  </conditional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AD05B0-9CBA-4DAA-8D37-4D312E63DA80}" name="TablaDinámica7" cacheId="3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A1:D7" firstHeaderRow="0" firstDataRow="1" firstDataCol="1"/>
  <pivotFields count="9">
    <pivotField showAll="0"/>
    <pivotField showAll="0">
      <items count="4">
        <item h="1" x="0"/>
        <item h="1" x="1"/>
        <item x="2"/>
        <item t="default"/>
      </items>
    </pivotField>
    <pivotField showAll="0"/>
    <pivotField showAll="0"/>
    <pivotField axis="axisRow" showAll="0" measureFilter="1" sortType="descending">
      <items count="9">
        <item x="3"/>
        <item x="4"/>
        <item x="2"/>
        <item x="7"/>
        <item x="0"/>
        <item x="1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6" showAll="0"/>
    <pivotField numFmtId="166" showAll="0"/>
    <pivotField dataField="1" numFmtId="166" showAll="0"/>
    <pivotField dataField="1" dragToRow="0" dragToCol="0" dragToPage="0" showAll="0" defaultSubtotal="0"/>
  </pivotFields>
  <rowFields count="1">
    <field x="4"/>
  </rowFields>
  <rowItems count="6">
    <i>
      <x v="4"/>
    </i>
    <i>
      <x v="6"/>
    </i>
    <i>
      <x v="3"/>
    </i>
    <i>
      <x v="2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Ingresos" fld="5" baseField="0" baseItem="0"/>
    <dataField name="Suma de utilidad" fld="7" baseField="0" baseItem="0"/>
    <dataField name="Suma de Margen" fld="8" baseField="0" baseItem="0" numFmtId="10"/>
  </dataFields>
  <formats count="2">
    <format dxfId="103">
      <pivotArea collapsedLevelsAreSubtotals="1" fieldPosition="0">
        <references count="2">
          <reference field="4294967294" count="1" selected="0">
            <x v="2"/>
          </reference>
          <reference field="4" count="0"/>
        </references>
      </pivotArea>
    </format>
    <format dxfId="10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onditionalFormats count="3">
    <conditionalFormat priority="1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4" count="5">
              <x v="2"/>
              <x v="3"/>
              <x v="4"/>
              <x v="6"/>
              <x v="7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4" count="5">
              <x v="2"/>
              <x v="3"/>
              <x v="4"/>
              <x v="6"/>
              <x v="7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4" count="5">
              <x v="2"/>
              <x v="3"/>
              <x v="4"/>
              <x v="6"/>
              <x v="7"/>
            </reference>
          </references>
        </pivotArea>
      </pivotAreas>
    </conditionalFormat>
  </conditional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037F88-16E5-450F-A842-2DAAF8A1636C}" name="TablaDinámica12" cacheId="3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7:D13" firstHeaderRow="0" firstDataRow="1" firstDataCol="1"/>
  <pivotFields count="9"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/>
    <pivotField axis="axisRow" showAll="0" measureFilter="1" sortType="descending">
      <items count="9">
        <item x="3"/>
        <item x="4"/>
        <item x="2"/>
        <item x="7"/>
        <item x="0"/>
        <item x="1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6" showAll="0"/>
    <pivotField numFmtId="166" showAll="0"/>
    <pivotField dataField="1" numFmtId="166" showAll="0"/>
    <pivotField dataField="1" dragToRow="0" dragToCol="0" dragToPage="0" showAll="0" defaultSubtotal="0"/>
  </pivotFields>
  <rowFields count="1">
    <field x="4"/>
  </rowFields>
  <rowItems count="6">
    <i>
      <x v="7"/>
    </i>
    <i>
      <x v="1"/>
    </i>
    <i>
      <x v="6"/>
    </i>
    <i>
      <x v="5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Ingresos" fld="5" baseField="0" baseItem="0" numFmtId="167"/>
    <dataField name="Suma de utilidad" fld="7" baseField="0" baseItem="0" numFmtId="167"/>
    <dataField name="Suma de Margen" fld="8" baseField="0" baseItem="0" numFmtId="10"/>
  </dataFields>
  <formats count="5">
    <format dxfId="99">
      <pivotArea collapsedLevelsAreSubtotals="1" fieldPosition="0">
        <references count="2">
          <reference field="4294967294" count="1" selected="0">
            <x v="2"/>
          </reference>
          <reference field="4" count="0"/>
        </references>
      </pivotArea>
    </format>
    <format dxfId="10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8">
      <pivotArea collapsedLevelsAreSubtotals="1" fieldPosition="0">
        <references count="2">
          <reference field="4294967294" count="2" selected="0">
            <x v="0"/>
            <x v="1"/>
          </reference>
          <reference field="4" count="5">
            <x v="1"/>
            <x v="4"/>
            <x v="5"/>
            <x v="6"/>
            <x v="7"/>
          </reference>
        </references>
      </pivotArea>
    </format>
    <format dxfId="97">
      <pivotArea outline="0" fieldPosition="0">
        <references count="1">
          <reference field="4294967294" count="1">
            <x v="0"/>
          </reference>
        </references>
      </pivotArea>
    </format>
    <format dxfId="96">
      <pivotArea outline="0" fieldPosition="0">
        <references count="1">
          <reference field="4294967294" count="1">
            <x v="1"/>
          </reference>
        </references>
      </pivotArea>
    </format>
  </formats>
  <conditionalFormats count="3">
    <conditionalFormat priority="1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4" count="5">
              <x v="2"/>
              <x v="3"/>
              <x v="4"/>
              <x v="6"/>
              <x v="7"/>
            </reference>
          </references>
        </pivotArea>
      </pivotAreas>
    </conditionalFormat>
    <conditionalFormat priority="1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4" count="5">
              <x v="2"/>
              <x v="3"/>
              <x v="4"/>
              <x v="6"/>
              <x v="7"/>
            </reference>
          </references>
        </pivotArea>
      </pivotAreas>
    </conditionalFormat>
    <conditionalFormat priority="17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4" count="5">
              <x v="2"/>
              <x v="3"/>
              <x v="4"/>
              <x v="6"/>
              <x v="7"/>
            </reference>
          </references>
        </pivotArea>
      </pivotAreas>
    </conditionalFormat>
  </conditional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1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38B55A-FA46-4A87-A039-F45ED0E8FAD8}" name="TablaDinámica11" cacheId="3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5">
  <location ref="A17:D46" firstHeaderRow="0" firstDataRow="1" firstDataCol="1"/>
  <pivotFields count="9">
    <pivotField axis="axisRow" showAll="0" measureFilter="1" sortType="descending">
      <items count="20">
        <item sd="0" x="0"/>
        <item x="1"/>
        <item sd="0" x="2"/>
        <item sd="0" x="3"/>
        <item sd="0" x="4"/>
        <item x="5"/>
        <item x="6"/>
        <item sd="0" x="7"/>
        <item sd="0" x="8"/>
        <item sd="0" x="9"/>
        <item x="10"/>
        <item sd="0" x="11"/>
        <item sd="0" x="12"/>
        <item x="13"/>
        <item x="14"/>
        <item x="15"/>
        <item sd="0" x="16"/>
        <item sd="0" x="17"/>
        <item sd="0"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0"/>
        <item h="1" x="1"/>
        <item h="1" x="2"/>
        <item t="default"/>
      </items>
    </pivotField>
    <pivotField showAll="0"/>
    <pivotField showAll="0"/>
    <pivotField axis="axisRow" showAll="0" sortType="descending">
      <items count="9">
        <item x="3"/>
        <item x="4"/>
        <item x="2"/>
        <item x="7"/>
        <item x="0"/>
        <item x="1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6" showAll="0"/>
    <pivotField numFmtId="166" showAll="0"/>
    <pivotField dataField="1" numFmtId="166" showAll="0"/>
    <pivotField dataField="1" dragToRow="0" dragToCol="0" dragToPage="0" showAll="0" defaultSubtotal="0"/>
  </pivotFields>
  <rowFields count="2">
    <field x="0"/>
    <field x="4"/>
  </rowFields>
  <rowItems count="29">
    <i>
      <x v="8"/>
    </i>
    <i>
      <x v="15"/>
    </i>
    <i r="1">
      <x v="5"/>
    </i>
    <i r="1">
      <x v="2"/>
    </i>
    <i r="1">
      <x v="6"/>
    </i>
    <i r="1">
      <x v="3"/>
    </i>
    <i r="1">
      <x v="7"/>
    </i>
    <i r="1">
      <x v="1"/>
    </i>
    <i>
      <x v="2"/>
    </i>
    <i>
      <x v="5"/>
    </i>
    <i r="1">
      <x/>
    </i>
    <i r="1">
      <x v="6"/>
    </i>
    <i r="1">
      <x v="1"/>
    </i>
    <i r="1">
      <x v="7"/>
    </i>
    <i r="1">
      <x v="4"/>
    </i>
    <i r="1">
      <x v="3"/>
    </i>
    <i>
      <x/>
    </i>
    <i>
      <x v="17"/>
    </i>
    <i>
      <x v="16"/>
    </i>
    <i>
      <x v="13"/>
    </i>
    <i r="1">
      <x v="5"/>
    </i>
    <i r="1">
      <x v="7"/>
    </i>
    <i r="1">
      <x v="2"/>
    </i>
    <i r="1">
      <x v="4"/>
    </i>
    <i r="1">
      <x v="1"/>
    </i>
    <i r="1">
      <x v="6"/>
    </i>
    <i>
      <x v="9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Ingresos" fld="5" baseField="0" baseItem="0" numFmtId="167"/>
    <dataField name="Suma de utilidad" fld="7" baseField="0" baseItem="0" numFmtId="167"/>
    <dataField name="Suma de Margen" fld="8" baseField="0" baseItem="0" numFmtId="10"/>
  </dataFields>
  <formats count="3">
    <format dxfId="10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5">
      <pivotArea outline="0" fieldPosition="0">
        <references count="1">
          <reference field="4294967294" count="1">
            <x v="0"/>
          </reference>
        </references>
      </pivotArea>
    </format>
    <format dxfId="94">
      <pivotArea outline="0" fieldPosition="0">
        <references count="1">
          <reference field="4294967294" count="1">
            <x v="1"/>
          </reference>
        </references>
      </pivotArea>
    </format>
  </formats>
  <conditionalFormats count="6">
    <conditionalFormat priority="16">
      <pivotAreas count="2"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2"/>
              <x v="3"/>
              <x v="4"/>
              <x v="8"/>
              <x v="17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0"/>
              <x v="7"/>
              <x v="12"/>
              <x v="16"/>
              <x v="18"/>
            </reference>
          </references>
        </pivotArea>
      </pivotAreas>
    </conditionalFormat>
    <conditionalFormat priority="15">
      <pivotAreas count="2">
        <pivotArea type="data" collapsedLevelsAreSubtotals="1" fieldPosition="0">
          <references count="2">
            <reference field="4294967294" count="1" selected="0">
              <x v="1"/>
            </reference>
            <reference field="0" count="5">
              <x v="2"/>
              <x v="3"/>
              <x v="4"/>
              <x v="8"/>
              <x v="17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5">
              <x v="0"/>
              <x v="7"/>
              <x v="12"/>
              <x v="16"/>
              <x v="18"/>
            </reference>
          </references>
        </pivotArea>
      </pivotAreas>
    </conditionalFormat>
    <conditionalFormat priority="14">
      <pivotAreas count="2">
        <pivotArea type="data" collapsedLevelsAreSubtotals="1" fieldPosition="0">
          <references count="2">
            <reference field="4294967294" count="1" selected="0">
              <x v="2"/>
            </reference>
            <reference field="0" count="5">
              <x v="2"/>
              <x v="3"/>
              <x v="4"/>
              <x v="8"/>
              <x v="17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5">
              <x v="0"/>
              <x v="7"/>
              <x v="12"/>
              <x v="16"/>
              <x v="18"/>
            </reference>
          </references>
        </pivotArea>
      </pivotAreas>
    </conditionalFormat>
    <conditionalFormat priority="3">
      <pivotAreas count="10"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1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18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16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17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2"/>
            </reference>
          </references>
        </pivotArea>
      </pivotAreas>
    </conditionalFormat>
    <conditionalFormat priority="2">
      <pivotAreas count="10">
        <pivotArea type="data" collapsedLevelsAreSubtotals="1" fieldPosition="0">
          <references count="2">
            <reference field="4294967294" count="1" selected="0">
              <x v="1"/>
            </reference>
            <reference field="0" count="1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1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1">
              <x v="11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1">
              <x v="18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1">
              <x v="16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1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1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1">
              <x v="17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1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1"/>
            </reference>
            <reference field="0" count="1">
              <x v="2"/>
            </reference>
          </references>
        </pivotArea>
      </pivotAreas>
    </conditionalFormat>
    <conditionalFormat priority="1">
      <pivotAreas count="10"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11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18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16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17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1">
              <x v="2"/>
            </reference>
          </references>
        </pivotArea>
      </pivotAreas>
    </conditionalFormat>
  </conditional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1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8D5673-E381-482F-A154-DF36DF5DFF35}" name="TablaDinámica10" cacheId="3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J1:O13" firstHeaderRow="1" firstDataRow="2" firstDataCol="1"/>
  <pivotFields count="9">
    <pivotField axis="axisRow" showAll="0" measureFilter="1" sortType="de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0"/>
        <item h="1" x="1"/>
        <item h="1" x="2"/>
        <item t="default"/>
      </items>
    </pivotField>
    <pivotField showAll="0"/>
    <pivotField axis="axisCol" showAll="0">
      <items count="5">
        <item x="3"/>
        <item x="1"/>
        <item x="2"/>
        <item x="0"/>
        <item t="default"/>
      </items>
    </pivotField>
    <pivotField showAll="0">
      <items count="9">
        <item x="3"/>
        <item x="4"/>
        <item x="2"/>
        <item x="7"/>
        <item x="0"/>
        <item x="1"/>
        <item x="6"/>
        <item x="5"/>
        <item t="default"/>
      </items>
    </pivotField>
    <pivotField dataField="1" numFmtId="166" showAll="0"/>
    <pivotField numFmtId="166" showAll="0"/>
    <pivotField numFmtId="166" showAll="0"/>
    <pivotField dragToRow="0" dragToCol="0" dragToPage="0" showAll="0" defaultSubtotal="0"/>
  </pivotFields>
  <rowFields count="1">
    <field x="0"/>
  </rowFields>
  <rowItems count="11">
    <i>
      <x v="8"/>
    </i>
    <i>
      <x v="15"/>
    </i>
    <i>
      <x v="2"/>
    </i>
    <i>
      <x v="5"/>
    </i>
    <i>
      <x/>
    </i>
    <i>
      <x v="17"/>
    </i>
    <i>
      <x v="16"/>
    </i>
    <i>
      <x v="13"/>
    </i>
    <i>
      <x v="9"/>
    </i>
    <i>
      <x v="7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uma de Ingresos" fld="5" baseField="0" baseItem="0" numFmtId="167"/>
  </dataFields>
  <conditionalFormats count="10">
    <conditionalFormat priority="1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8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3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2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7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4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8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7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2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6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0"/>
            </reference>
            <reference field="3" count="4" selected="0">
              <x v="0"/>
              <x v="1"/>
              <x v="2"/>
              <x v="3"/>
            </reference>
          </references>
        </pivotArea>
      </pivotAreas>
    </conditionalFormat>
  </conditionalFormat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Dark1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" xr10:uid="{05A39E14-2333-4D40-A8DB-032CC7FE80F8}" sourceName="Región">
  <pivotTables>
    <pivotTable tabId="8" name="TablaDinámica7"/>
    <pivotTable tabId="8" name="TablaDinámica8"/>
    <pivotTable tabId="8" name="TablaDinámica9"/>
  </pivotTables>
  <data>
    <tabular pivotCacheId="2146397875">
      <items count="3">
        <i x="0"/>
        <i x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1" xr10:uid="{1B4BCF19-C90C-467D-A1B3-4779F24B862C}" sourceName="Región">
  <pivotTables>
    <pivotTable tabId="5" name="TablaDinámica12"/>
    <pivotTable tabId="5" name="TablaDinámica11"/>
    <pivotTable tabId="5" name="TablaDinámica10"/>
  </pivotTables>
  <data>
    <tabular pivotCacheId="2146397875">
      <items count="3">
        <i x="0" s="1"/>
        <i x="1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ón" xr10:uid="{04443852-754A-4307-AA52-BE21947ACDA5}" cache="SegmentaciónDeDatos_Región" caption="Región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ón 1" xr10:uid="{AD1671CE-8AF5-4FFD-9A25-0A51DC9E0BFC}" cache="SegmentaciónDeDatos_Región1" caption="Región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79E15E-27FD-4ECE-A808-64753C4CDF44}" name="Tabla1" displayName="Tabla1" ref="F14:G17" totalsRowShown="0" headerRowDxfId="137" headerRowBorderDxfId="136" tableBorderDxfId="135" totalsRowBorderDxfId="134">
  <autoFilter ref="F14:G17" xr:uid="{5279E15E-27FD-4ECE-A808-64753C4CDF44}"/>
  <tableColumns count="2">
    <tableColumn id="1" xr3:uid="{74F73E00-B70A-4B0D-88B1-E8949F384387}" name="Columna1" dataDxfId="133"/>
    <tableColumn id="2" xr3:uid="{1B52CAAF-DC36-4297-9962-79B051B3E01D}" name="Columna2" dataDxfId="1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9339B-FC4F-4E64-B5BB-ABF4C7448DD8}" name="Tabla2" displayName="Tabla2" ref="I14:J18" totalsRowShown="0" headerRowDxfId="131" headerRowBorderDxfId="130" tableBorderDxfId="129" totalsRowBorderDxfId="128">
  <autoFilter ref="I14:J18" xr:uid="{CED9339B-FC4F-4E64-B5BB-ABF4C7448DD8}"/>
  <tableColumns count="2">
    <tableColumn id="1" xr3:uid="{2E74925E-9BA7-4DE3-8D48-44F5D6A200F8}" name="Columna1" dataDxfId="127"/>
    <tableColumn id="2" xr3:uid="{52122893-0AEF-4605-8739-6FC9B7384A6F}" name="Columna2" dataDxfId="1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6B9B5E-9BE0-4372-A5D6-2166B24AF678}" name="Tabla3" displayName="Tabla3" ref="L14:M22" totalsRowShown="0" headerRowDxfId="125" headerRowBorderDxfId="124" tableBorderDxfId="123" totalsRowBorderDxfId="122">
  <autoFilter ref="L14:M22" xr:uid="{046B9B5E-9BE0-4372-A5D6-2166B24AF678}"/>
  <tableColumns count="2">
    <tableColumn id="1" xr3:uid="{679A3DFE-A62F-4EE6-A596-13C2EBB39F13}" name="Columna1" dataDxfId="121"/>
    <tableColumn id="2" xr3:uid="{FBDCF36A-5693-4ABA-B392-FF7403B57E80}" name="Columna2" dataDxfId="1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B6D4AB-838E-459C-9104-3F3B13F28B16}" name="Tabla4" displayName="Tabla4" ref="O14:P26" totalsRowShown="0" headerRowBorderDxfId="119" tableBorderDxfId="118" totalsRowBorderDxfId="117">
  <autoFilter ref="O14:P26" xr:uid="{71B6D4AB-838E-459C-9104-3F3B13F28B16}"/>
  <tableColumns count="2">
    <tableColumn id="1" xr3:uid="{D91C6725-0E57-4994-89A6-20DEA972F442}" name="Columna1" dataDxfId="116"/>
    <tableColumn id="2" xr3:uid="{9D07DDAE-AF7E-4DD3-BDDE-332891A387E2}" name="Columna2" dataDxfId="115" dataCellStyle="Mon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7B7BA4-C80E-4EFA-AD4E-4B5A02D063EF}" name="Tabla5" displayName="Tabla5" ref="R14:S24" totalsRowShown="0" headerRowBorderDxfId="114" tableBorderDxfId="113" totalsRowBorderDxfId="112">
  <autoFilter ref="R14:S24" xr:uid="{EE7B7BA4-C80E-4EFA-AD4E-4B5A02D063EF}"/>
  <tableColumns count="2">
    <tableColumn id="1" xr3:uid="{1D364541-BD60-4843-9683-3531C657276D}" name="Columna1" dataDxfId="111"/>
    <tableColumn id="2" xr3:uid="{D7D11FC0-FA5C-44F6-A8D1-E2553C2A191A}" name="Columna2" dataDxfId="110" dataCellStyle="Porcentaj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8E0C30D-9749-4CEE-AF0A-ED527517D3A2}" name="Tabladatos" displayName="Tabladatos" ref="A2:H602" totalsRowShown="0" headerRowDxfId="109" headerRowBorderDxfId="108">
  <autoFilter ref="A2:H602" xr:uid="{E8E0C30D-9749-4CEE-AF0A-ED527517D3A2}"/>
  <tableColumns count="8">
    <tableColumn id="1" xr3:uid="{6834BC0A-B9B9-40CD-8907-54F7BA77D661}" name="Compañía"/>
    <tableColumn id="2" xr3:uid="{E1247C4A-CFEF-4FE8-8A37-0225847CFEEB}" name="Región">
      <calculatedColumnFormula>VLOOKUP(RANDBETWEEN(1,3),Tabla1[],2,FALSE)</calculatedColumnFormula>
    </tableColumn>
    <tableColumn id="3" xr3:uid="{EC377EF4-588B-47D4-B915-94BEAE5D33A2}" name="Año"/>
    <tableColumn id="4" xr3:uid="{BB552F3A-F2D7-4815-A2A0-81A4EF709E26}" name="Trimestre">
      <calculatedColumnFormula>VLOOKUP(RANDBETWEEN(1,4),Tabla2[],2,FALSE)</calculatedColumnFormula>
    </tableColumn>
    <tableColumn id="5" xr3:uid="{6EBE4392-8CEC-4E26-8CC0-943DEB3D4ED8}" name="Producto">
      <calculatedColumnFormula>VLOOKUP(RANDBETWEEN(1,8),Tabla3[],2,FALSE)</calculatedColumnFormula>
    </tableColumn>
    <tableColumn id="6" xr3:uid="{996BE64A-963C-488C-9714-26CBAC0301DC}" name="Ingresos" dataDxfId="107">
      <calculatedColumnFormula>VLOOKUP(RANDBETWEEN(1,12),Tabla4[],2,FALSE)</calculatedColumnFormula>
    </tableColumn>
    <tableColumn id="7" xr3:uid="{62AC6E6D-07B2-43C0-9429-D82E685C0C23}" name="Costos" dataDxfId="106">
      <calculatedColumnFormula>Tabladatos[[#This Row],[Ingresos]]*VLOOKUP(RANDBETWEEN(1,10),Tabla5[],2,FALSE)</calculatedColumnFormula>
    </tableColumn>
    <tableColumn id="8" xr3:uid="{9E210C8D-81AE-49E3-81E9-58B7C2C5D98E}" name="utilidad" dataDxfId="105">
      <calculatedColumnFormula>Tabladatos[[#This Row],[Ingresos]]-Tabladatos[[#This Row],[Costos]]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6.xml"/><Relationship Id="rId7" Type="http://schemas.openxmlformats.org/officeDocument/2006/relationships/image" Target="../media/image2.emf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J12"/>
  <sheetViews>
    <sheetView showGridLines="0" workbookViewId="0">
      <selection activeCell="M17" sqref="M17"/>
    </sheetView>
  </sheetViews>
  <sheetFormatPr baseColWidth="10" defaultRowHeight="15" x14ac:dyDescent="0.25"/>
  <sheetData>
    <row r="2" spans="2:10" ht="21" x14ac:dyDescent="0.35">
      <c r="B2" s="1" t="s">
        <v>0</v>
      </c>
    </row>
    <row r="4" spans="2:10" x14ac:dyDescent="0.25">
      <c r="B4" s="2" t="s">
        <v>1</v>
      </c>
    </row>
    <row r="6" spans="2:10" ht="46.5" customHeight="1" x14ac:dyDescent="0.25">
      <c r="B6" s="20" t="s">
        <v>51</v>
      </c>
      <c r="C6" s="20"/>
      <c r="D6" s="20"/>
      <c r="E6" s="20"/>
      <c r="F6" s="20"/>
      <c r="G6" s="20"/>
      <c r="H6" s="20"/>
      <c r="I6" s="20"/>
      <c r="J6" s="20"/>
    </row>
    <row r="8" spans="2:10" x14ac:dyDescent="0.25">
      <c r="B8" t="s">
        <v>2</v>
      </c>
    </row>
    <row r="10" spans="2:10" x14ac:dyDescent="0.25">
      <c r="C10" t="s">
        <v>24</v>
      </c>
    </row>
    <row r="11" spans="2:10" x14ac:dyDescent="0.25">
      <c r="C11" t="s">
        <v>3</v>
      </c>
    </row>
    <row r="12" spans="2:10" x14ac:dyDescent="0.25">
      <c r="C12" t="s">
        <v>4</v>
      </c>
    </row>
  </sheetData>
  <mergeCells count="1">
    <mergeCell ref="B6:J6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S26"/>
  <sheetViews>
    <sheetView topLeftCell="A5" workbookViewId="0">
      <selection activeCell="R14" sqref="R14:S24"/>
    </sheetView>
  </sheetViews>
  <sheetFormatPr baseColWidth="10" defaultRowHeight="15" x14ac:dyDescent="0.25"/>
  <cols>
    <col min="6" max="7" width="12" customWidth="1"/>
    <col min="8" max="8" width="3.42578125" customWidth="1"/>
    <col min="9" max="9" width="12.85546875" customWidth="1"/>
    <col min="10" max="10" width="15.7109375" customWidth="1"/>
    <col min="11" max="11" width="4" customWidth="1"/>
    <col min="12" max="12" width="13.140625" customWidth="1"/>
    <col min="13" max="13" width="18.140625" customWidth="1"/>
    <col min="14" max="14" width="3.7109375" customWidth="1"/>
    <col min="15" max="15" width="12" customWidth="1"/>
    <col min="16" max="16" width="13.42578125" customWidth="1"/>
    <col min="17" max="17" width="3.85546875" customWidth="1"/>
    <col min="18" max="19" width="12" customWidth="1"/>
  </cols>
  <sheetData>
    <row r="1" spans="1:19" x14ac:dyDescent="0.25">
      <c r="A1" s="2" t="s">
        <v>32</v>
      </c>
    </row>
    <row r="3" spans="1:19" x14ac:dyDescent="0.25">
      <c r="A3" t="s">
        <v>47</v>
      </c>
    </row>
    <row r="5" spans="1:19" x14ac:dyDescent="0.25">
      <c r="A5" t="s">
        <v>60</v>
      </c>
    </row>
    <row r="6" spans="1:19" x14ac:dyDescent="0.25">
      <c r="A6" t="s">
        <v>41</v>
      </c>
    </row>
    <row r="7" spans="1:19" x14ac:dyDescent="0.25">
      <c r="A7" t="s">
        <v>57</v>
      </c>
    </row>
    <row r="8" spans="1:19" x14ac:dyDescent="0.25">
      <c r="A8" t="s">
        <v>56</v>
      </c>
    </row>
    <row r="9" spans="1:19" x14ac:dyDescent="0.25">
      <c r="A9" t="s">
        <v>58</v>
      </c>
    </row>
    <row r="10" spans="1:19" x14ac:dyDescent="0.25">
      <c r="A10" t="s">
        <v>59</v>
      </c>
    </row>
    <row r="13" spans="1:19" x14ac:dyDescent="0.25">
      <c r="F13" s="2" t="s">
        <v>27</v>
      </c>
      <c r="I13" s="2" t="s">
        <v>36</v>
      </c>
      <c r="L13" s="2" t="s">
        <v>42</v>
      </c>
      <c r="O13" s="2" t="s">
        <v>54</v>
      </c>
      <c r="R13" s="2" t="s">
        <v>55</v>
      </c>
    </row>
    <row r="14" spans="1:19" x14ac:dyDescent="0.25">
      <c r="F14" s="6" t="s">
        <v>61</v>
      </c>
      <c r="G14" s="7" t="s">
        <v>62</v>
      </c>
      <c r="I14" s="6" t="s">
        <v>61</v>
      </c>
      <c r="J14" s="7" t="s">
        <v>62</v>
      </c>
      <c r="L14" s="6" t="s">
        <v>61</v>
      </c>
      <c r="M14" s="7" t="s">
        <v>62</v>
      </c>
      <c r="O14" s="6" t="s">
        <v>61</v>
      </c>
      <c r="P14" s="13" t="s">
        <v>62</v>
      </c>
      <c r="R14" s="6" t="s">
        <v>61</v>
      </c>
      <c r="S14" s="17" t="s">
        <v>62</v>
      </c>
    </row>
    <row r="15" spans="1:19" x14ac:dyDescent="0.25">
      <c r="F15" s="4">
        <v>1</v>
      </c>
      <c r="G15" s="5" t="s">
        <v>28</v>
      </c>
      <c r="I15" s="4">
        <v>1</v>
      </c>
      <c r="J15" s="5" t="s">
        <v>37</v>
      </c>
      <c r="L15" s="4">
        <v>1</v>
      </c>
      <c r="M15" s="5" t="s">
        <v>29</v>
      </c>
      <c r="O15" s="4">
        <v>1</v>
      </c>
      <c r="P15" s="12">
        <v>27300</v>
      </c>
      <c r="R15" s="4">
        <v>1</v>
      </c>
      <c r="S15" s="16">
        <v>0.1</v>
      </c>
    </row>
    <row r="16" spans="1:19" x14ac:dyDescent="0.25">
      <c r="F16" s="4">
        <v>2</v>
      </c>
      <c r="G16" s="5" t="s">
        <v>30</v>
      </c>
      <c r="I16" s="4">
        <v>2</v>
      </c>
      <c r="J16" s="5" t="s">
        <v>38</v>
      </c>
      <c r="L16" s="4">
        <v>2</v>
      </c>
      <c r="M16" s="5" t="s">
        <v>43</v>
      </c>
      <c r="O16" s="4">
        <v>2</v>
      </c>
      <c r="P16" s="12">
        <v>66150</v>
      </c>
      <c r="R16" s="4">
        <v>2</v>
      </c>
      <c r="S16" s="16">
        <v>0.15</v>
      </c>
    </row>
    <row r="17" spans="6:19" x14ac:dyDescent="0.25">
      <c r="F17" s="8">
        <v>3</v>
      </c>
      <c r="G17" s="9" t="s">
        <v>31</v>
      </c>
      <c r="I17" s="4">
        <v>3</v>
      </c>
      <c r="J17" s="5" t="s">
        <v>39</v>
      </c>
      <c r="L17" s="4">
        <v>3</v>
      </c>
      <c r="M17" s="5" t="s">
        <v>44</v>
      </c>
      <c r="O17" s="4">
        <v>3</v>
      </c>
      <c r="P17" s="12">
        <v>95945</v>
      </c>
      <c r="R17" s="4">
        <v>3</v>
      </c>
      <c r="S17" s="16">
        <v>0.2</v>
      </c>
    </row>
    <row r="18" spans="6:19" x14ac:dyDescent="0.25">
      <c r="I18" s="8">
        <v>4</v>
      </c>
      <c r="J18" s="9" t="s">
        <v>40</v>
      </c>
      <c r="L18" s="10">
        <v>4</v>
      </c>
      <c r="M18" s="11" t="s">
        <v>49</v>
      </c>
      <c r="O18" s="4">
        <v>4</v>
      </c>
      <c r="P18" s="12">
        <v>120460</v>
      </c>
      <c r="R18" s="10">
        <v>4</v>
      </c>
      <c r="S18" s="16">
        <v>0.25</v>
      </c>
    </row>
    <row r="19" spans="6:19" x14ac:dyDescent="0.25">
      <c r="L19" s="4">
        <v>5</v>
      </c>
      <c r="M19" s="5" t="s">
        <v>45</v>
      </c>
      <c r="O19" s="4">
        <v>5</v>
      </c>
      <c r="P19" s="12">
        <v>170000</v>
      </c>
      <c r="R19" s="4">
        <v>5</v>
      </c>
      <c r="S19" s="16">
        <v>0.3</v>
      </c>
    </row>
    <row r="20" spans="6:19" x14ac:dyDescent="0.25">
      <c r="L20" s="4">
        <v>6</v>
      </c>
      <c r="M20" s="5" t="s">
        <v>46</v>
      </c>
      <c r="O20" s="4">
        <v>6</v>
      </c>
      <c r="P20" s="12">
        <v>228990</v>
      </c>
      <c r="R20" s="4">
        <v>6</v>
      </c>
      <c r="S20" s="16">
        <v>0.4</v>
      </c>
    </row>
    <row r="21" spans="6:19" x14ac:dyDescent="0.25">
      <c r="L21" s="4">
        <v>7</v>
      </c>
      <c r="M21" s="5" t="s">
        <v>48</v>
      </c>
      <c r="O21" s="4">
        <v>7</v>
      </c>
      <c r="P21" s="12">
        <v>300000</v>
      </c>
      <c r="R21" s="4">
        <v>7</v>
      </c>
      <c r="S21" s="16">
        <v>0.5</v>
      </c>
    </row>
    <row r="22" spans="6:19" x14ac:dyDescent="0.25">
      <c r="L22" s="8">
        <v>8</v>
      </c>
      <c r="M22" s="9" t="s">
        <v>50</v>
      </c>
      <c r="O22" s="4">
        <v>8</v>
      </c>
      <c r="P22" s="12">
        <v>365285</v>
      </c>
      <c r="R22" s="4">
        <v>8</v>
      </c>
      <c r="S22" s="16">
        <v>0.6</v>
      </c>
    </row>
    <row r="23" spans="6:19" x14ac:dyDescent="0.25">
      <c r="O23" s="4">
        <v>9</v>
      </c>
      <c r="P23" s="12">
        <v>415765</v>
      </c>
      <c r="R23" s="4">
        <v>9</v>
      </c>
      <c r="S23" s="16">
        <v>0.7</v>
      </c>
    </row>
    <row r="24" spans="6:19" x14ac:dyDescent="0.25">
      <c r="O24" s="4">
        <v>10</v>
      </c>
      <c r="P24" s="12">
        <v>490000</v>
      </c>
      <c r="R24" s="8">
        <v>10</v>
      </c>
      <c r="S24" s="18">
        <v>0.8</v>
      </c>
    </row>
    <row r="25" spans="6:19" x14ac:dyDescent="0.25">
      <c r="O25" s="4">
        <v>11</v>
      </c>
      <c r="P25" s="12">
        <v>535990</v>
      </c>
    </row>
    <row r="26" spans="6:19" x14ac:dyDescent="0.25">
      <c r="O26" s="8">
        <v>12</v>
      </c>
      <c r="P26" s="14">
        <v>599800</v>
      </c>
    </row>
  </sheetData>
  <pageMargins left="0.7" right="0.7" top="0.75" bottom="0.75" header="0.3" footer="0.3"/>
  <pageSetup orientation="portrait" horizontalDpi="300" verticalDpi="30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871D5-9ADC-4BC5-A1E0-0336976BB640}">
  <sheetPr codeName="Hoja5"/>
  <dimension ref="A1:P13"/>
  <sheetViews>
    <sheetView zoomScale="70" zoomScaleNormal="70" workbookViewId="0">
      <selection activeCell="C30" sqref="C30"/>
    </sheetView>
  </sheetViews>
  <sheetFormatPr baseColWidth="10" defaultRowHeight="15" x14ac:dyDescent="0.25"/>
  <cols>
    <col min="1" max="1" width="23.42578125" bestFit="1" customWidth="1"/>
    <col min="2" max="2" width="22" bestFit="1" customWidth="1"/>
    <col min="3" max="4" width="20.7109375" bestFit="1" customWidth="1"/>
    <col min="6" max="6" width="23.42578125" bestFit="1" customWidth="1"/>
    <col min="7" max="7" width="22" bestFit="1" customWidth="1"/>
    <col min="8" max="9" width="20.7109375" bestFit="1" customWidth="1"/>
    <col min="11" max="11" width="23.42578125" bestFit="1" customWidth="1"/>
    <col min="12" max="12" width="29.7109375" bestFit="1" customWidth="1"/>
    <col min="13" max="13" width="17.140625" bestFit="1" customWidth="1"/>
    <col min="14" max="15" width="16.42578125" bestFit="1" customWidth="1"/>
    <col min="16" max="16" width="16.7109375" bestFit="1" customWidth="1"/>
  </cols>
  <sheetData>
    <row r="1" spans="1:16" x14ac:dyDescent="0.25">
      <c r="A1" s="21" t="s">
        <v>63</v>
      </c>
      <c r="B1" t="s">
        <v>64</v>
      </c>
      <c r="C1" t="s">
        <v>69</v>
      </c>
      <c r="D1" t="s">
        <v>67</v>
      </c>
      <c r="F1" s="21" t="s">
        <v>63</v>
      </c>
      <c r="G1" t="s">
        <v>64</v>
      </c>
      <c r="H1" t="s">
        <v>69</v>
      </c>
      <c r="I1" t="s">
        <v>67</v>
      </c>
      <c r="K1" s="21" t="s">
        <v>64</v>
      </c>
      <c r="L1" s="21" t="s">
        <v>66</v>
      </c>
    </row>
    <row r="2" spans="1:16" x14ac:dyDescent="0.25">
      <c r="A2" s="22" t="s">
        <v>46</v>
      </c>
      <c r="B2" s="23">
        <v>10919375</v>
      </c>
      <c r="C2" s="23">
        <v>7009740.5</v>
      </c>
      <c r="D2" s="19">
        <v>0.64195437009902123</v>
      </c>
      <c r="F2" s="22" t="s">
        <v>8</v>
      </c>
      <c r="G2" s="23">
        <v>6718910</v>
      </c>
      <c r="H2" s="23">
        <v>4334768.25</v>
      </c>
      <c r="I2" s="19">
        <v>0.64515944550529769</v>
      </c>
      <c r="K2" s="21" t="s">
        <v>63</v>
      </c>
      <c r="L2" t="s">
        <v>37</v>
      </c>
      <c r="M2" t="s">
        <v>38</v>
      </c>
      <c r="N2" t="s">
        <v>39</v>
      </c>
      <c r="O2" t="s">
        <v>40</v>
      </c>
      <c r="P2" t="s">
        <v>65</v>
      </c>
    </row>
    <row r="3" spans="1:16" x14ac:dyDescent="0.25">
      <c r="A3" s="22" t="s">
        <v>48</v>
      </c>
      <c r="B3" s="23">
        <v>9359520</v>
      </c>
      <c r="C3" s="23">
        <v>5345123.75</v>
      </c>
      <c r="D3" s="19">
        <v>0.57108951634271843</v>
      </c>
      <c r="F3" s="22" t="s">
        <v>13</v>
      </c>
      <c r="G3" s="23">
        <v>5594835</v>
      </c>
      <c r="H3" s="23">
        <v>3727798</v>
      </c>
      <c r="I3" s="19">
        <v>0.66629275036707969</v>
      </c>
      <c r="K3" s="22" t="s">
        <v>8</v>
      </c>
      <c r="L3" s="23">
        <v>1429520</v>
      </c>
      <c r="M3" s="23">
        <v>307070</v>
      </c>
      <c r="N3" s="23">
        <v>1023925</v>
      </c>
      <c r="O3" s="23">
        <v>3958395</v>
      </c>
      <c r="P3" s="23">
        <v>6718910</v>
      </c>
    </row>
    <row r="4" spans="1:16" x14ac:dyDescent="0.25">
      <c r="A4" s="22" t="s">
        <v>43</v>
      </c>
      <c r="B4" s="23">
        <v>7424065</v>
      </c>
      <c r="C4" s="23">
        <v>4643274.75</v>
      </c>
      <c r="D4" s="19">
        <v>0.62543562724733692</v>
      </c>
      <c r="F4" s="22" t="s">
        <v>15</v>
      </c>
      <c r="G4" s="23">
        <v>4551235</v>
      </c>
      <c r="H4" s="23">
        <v>2608818.25</v>
      </c>
      <c r="I4" s="19">
        <v>0.57321106249182918</v>
      </c>
      <c r="K4" s="22" t="s">
        <v>13</v>
      </c>
      <c r="L4" s="23">
        <v>1627640</v>
      </c>
      <c r="M4" s="23">
        <v>692585</v>
      </c>
      <c r="N4" s="23">
        <v>1547780</v>
      </c>
      <c r="O4" s="23">
        <v>1726830</v>
      </c>
      <c r="P4" s="23">
        <v>5594835</v>
      </c>
    </row>
    <row r="5" spans="1:16" x14ac:dyDescent="0.25">
      <c r="A5" s="22" t="s">
        <v>44</v>
      </c>
      <c r="B5" s="23">
        <v>7395825</v>
      </c>
      <c r="C5" s="23">
        <v>4381470</v>
      </c>
      <c r="D5" s="19">
        <v>0.59242478019693545</v>
      </c>
      <c r="F5" s="22" t="s">
        <v>22</v>
      </c>
      <c r="G5" s="23">
        <v>4224205</v>
      </c>
      <c r="H5" s="23">
        <v>2280940</v>
      </c>
      <c r="I5" s="19">
        <v>0.5399690592667733</v>
      </c>
      <c r="K5" s="22" t="s">
        <v>15</v>
      </c>
      <c r="L5" s="23">
        <v>2527500</v>
      </c>
      <c r="M5" s="23">
        <v>415765</v>
      </c>
      <c r="N5" s="23">
        <v>535990</v>
      </c>
      <c r="O5" s="23">
        <v>1071980</v>
      </c>
      <c r="P5" s="23">
        <v>4551235</v>
      </c>
    </row>
    <row r="6" spans="1:16" x14ac:dyDescent="0.25">
      <c r="A6" s="22" t="s">
        <v>50</v>
      </c>
      <c r="B6" s="23">
        <v>6975675</v>
      </c>
      <c r="C6" s="23">
        <v>4250362.5</v>
      </c>
      <c r="D6" s="19">
        <v>0.60931200206431635</v>
      </c>
      <c r="F6" s="22" t="s">
        <v>20</v>
      </c>
      <c r="G6" s="23">
        <v>3937375</v>
      </c>
      <c r="H6" s="23">
        <v>2668588.75</v>
      </c>
      <c r="I6" s="19">
        <v>0.67775834153465186</v>
      </c>
      <c r="K6" s="22" t="s">
        <v>22</v>
      </c>
      <c r="L6" s="23">
        <v>517300</v>
      </c>
      <c r="M6" s="23">
        <v>300000</v>
      </c>
      <c r="N6" s="23">
        <v>1994620</v>
      </c>
      <c r="O6" s="23">
        <v>1412285</v>
      </c>
      <c r="P6" s="23">
        <v>4224205</v>
      </c>
    </row>
    <row r="7" spans="1:16" x14ac:dyDescent="0.25">
      <c r="A7" s="22" t="s">
        <v>65</v>
      </c>
      <c r="B7" s="23">
        <v>42074460</v>
      </c>
      <c r="C7" s="23">
        <v>25629971.5</v>
      </c>
      <c r="D7" s="19">
        <v>0.60915746749928579</v>
      </c>
      <c r="F7" s="22" t="s">
        <v>12</v>
      </c>
      <c r="G7" s="23">
        <v>3700340</v>
      </c>
      <c r="H7" s="23">
        <v>2409359.75</v>
      </c>
      <c r="I7" s="19">
        <v>0.65111847830199387</v>
      </c>
      <c r="K7" s="22" t="s">
        <v>20</v>
      </c>
      <c r="L7" s="23">
        <v>349450</v>
      </c>
      <c r="M7" s="23">
        <v>1391275</v>
      </c>
      <c r="N7" s="23">
        <v>585945</v>
      </c>
      <c r="O7" s="23">
        <v>1610705</v>
      </c>
      <c r="P7" s="23">
        <v>3937375</v>
      </c>
    </row>
    <row r="8" spans="1:16" x14ac:dyDescent="0.25">
      <c r="F8" s="22" t="s">
        <v>14</v>
      </c>
      <c r="G8" s="23">
        <v>3688590</v>
      </c>
      <c r="H8" s="23">
        <v>2323882</v>
      </c>
      <c r="I8" s="19">
        <v>0.63001905877313558</v>
      </c>
      <c r="K8" s="22" t="s">
        <v>12</v>
      </c>
      <c r="L8" s="23">
        <v>1081050</v>
      </c>
      <c r="M8" s="23">
        <v>644755</v>
      </c>
      <c r="N8" s="23">
        <v>1204735</v>
      </c>
      <c r="O8" s="23">
        <v>769800</v>
      </c>
      <c r="P8" s="23">
        <v>3700340</v>
      </c>
    </row>
    <row r="9" spans="1:16" x14ac:dyDescent="0.25">
      <c r="F9" s="22" t="s">
        <v>21</v>
      </c>
      <c r="G9" s="23">
        <v>3631575</v>
      </c>
      <c r="H9" s="23">
        <v>1777357</v>
      </c>
      <c r="I9" s="19">
        <v>0.48941767690327198</v>
      </c>
      <c r="K9" s="22" t="s">
        <v>14</v>
      </c>
      <c r="L9" s="23">
        <v>395945</v>
      </c>
      <c r="M9" s="23">
        <v>813045</v>
      </c>
      <c r="N9" s="23">
        <v>1689600</v>
      </c>
      <c r="O9" s="23">
        <v>790000</v>
      </c>
      <c r="P9" s="23">
        <v>3688590</v>
      </c>
    </row>
    <row r="10" spans="1:16" x14ac:dyDescent="0.25">
      <c r="F10" s="22" t="s">
        <v>9</v>
      </c>
      <c r="G10" s="23">
        <v>3275855</v>
      </c>
      <c r="H10" s="23">
        <v>2013599.5</v>
      </c>
      <c r="I10" s="19">
        <v>0.61467906851798992</v>
      </c>
      <c r="K10" s="22" t="s">
        <v>21</v>
      </c>
      <c r="L10" s="23"/>
      <c r="M10" s="23">
        <v>1780545</v>
      </c>
      <c r="N10" s="23">
        <v>1851030</v>
      </c>
      <c r="O10" s="23"/>
      <c r="P10" s="23">
        <v>3631575</v>
      </c>
    </row>
    <row r="11" spans="1:16" x14ac:dyDescent="0.25">
      <c r="F11" s="22" t="s">
        <v>25</v>
      </c>
      <c r="G11" s="23">
        <v>3126875</v>
      </c>
      <c r="H11" s="23">
        <v>1823443.5</v>
      </c>
      <c r="I11" s="19">
        <v>0.58315202878273031</v>
      </c>
      <c r="K11" s="22" t="s">
        <v>9</v>
      </c>
      <c r="L11" s="23">
        <v>1559560</v>
      </c>
      <c r="M11" s="23">
        <v>1332385</v>
      </c>
      <c r="N11" s="23">
        <v>213910</v>
      </c>
      <c r="O11" s="23">
        <v>170000</v>
      </c>
      <c r="P11" s="23">
        <v>3275855</v>
      </c>
    </row>
    <row r="12" spans="1:16" x14ac:dyDescent="0.25">
      <c r="F12" s="22" t="s">
        <v>65</v>
      </c>
      <c r="G12" s="23">
        <v>42449795</v>
      </c>
      <c r="H12" s="23">
        <v>25968555</v>
      </c>
      <c r="I12" s="19">
        <v>0.61174747722574396</v>
      </c>
      <c r="K12" s="22" t="s">
        <v>25</v>
      </c>
      <c r="L12" s="23">
        <v>366150</v>
      </c>
      <c r="M12" s="23">
        <v>939800</v>
      </c>
      <c r="N12" s="23">
        <v>960000</v>
      </c>
      <c r="O12" s="23">
        <v>860925</v>
      </c>
      <c r="P12" s="23">
        <v>3126875</v>
      </c>
    </row>
    <row r="13" spans="1:16" x14ac:dyDescent="0.25">
      <c r="K13" s="22" t="s">
        <v>65</v>
      </c>
      <c r="L13" s="23">
        <v>9854115</v>
      </c>
      <c r="M13" s="23">
        <v>8617225</v>
      </c>
      <c r="N13" s="23">
        <v>11607535</v>
      </c>
      <c r="O13" s="23">
        <v>12370920</v>
      </c>
      <c r="P13" s="23">
        <v>42449795</v>
      </c>
    </row>
  </sheetData>
  <conditionalFormatting pivot="1" sqref="B2:B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{2D113DA8-C723-41BD-AF5F-53F2F57B4BF9}</x14:id>
        </ext>
      </extLst>
    </cfRule>
  </conditionalFormatting>
  <conditionalFormatting pivot="1" sqref="C2:C6">
    <cfRule type="colorScale" priority="15">
      <colorScale>
        <cfvo type="min"/>
        <cfvo type="max"/>
        <color rgb="FFFCFCFF"/>
        <color rgb="FF63BE7B"/>
      </colorScale>
    </cfRule>
  </conditionalFormatting>
  <conditionalFormatting pivot="1" sqref="D2:D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:G3 G9:G11 G5:G7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{7F231879-D14E-4939-948F-6B59FB38A4BB}</x14:id>
        </ext>
      </extLst>
    </cfRule>
  </conditionalFormatting>
  <conditionalFormatting pivot="1" sqref="H2:H3 H9:H11 H5:H7">
    <cfRule type="colorScale" priority="12">
      <colorScale>
        <cfvo type="min"/>
        <cfvo type="max"/>
        <color rgb="FFFCFCFF"/>
        <color rgb="FF63BE7B"/>
      </colorScale>
    </cfRule>
  </conditionalFormatting>
  <conditionalFormatting pivot="1" sqref="I2:I3 I9:I11 I5:I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4:O4">
    <cfRule type="colorScale" priority="10">
      <colorScale>
        <cfvo type="min"/>
        <cfvo type="max"/>
        <color rgb="FFFCFCFF"/>
        <color rgb="FF63BE7B"/>
      </colorScale>
    </cfRule>
  </conditionalFormatting>
  <conditionalFormatting pivot="1" sqref="L3:O3">
    <cfRule type="colorScale" priority="9">
      <colorScale>
        <cfvo type="min"/>
        <cfvo type="max"/>
        <color rgb="FFFCFCFF"/>
        <color rgb="FF63BE7B"/>
      </colorScale>
    </cfRule>
  </conditionalFormatting>
  <conditionalFormatting pivot="1" sqref="L12:O12">
    <cfRule type="colorScale" priority="8">
      <colorScale>
        <cfvo type="min"/>
        <cfvo type="max"/>
        <color rgb="FFFCFCFF"/>
        <color rgb="FF63BE7B"/>
      </colorScale>
    </cfRule>
  </conditionalFormatting>
  <conditionalFormatting pivot="1" sqref="L10:O10">
    <cfRule type="colorScale" priority="7">
      <colorScale>
        <cfvo type="min"/>
        <cfvo type="max"/>
        <color rgb="FFFCFCFF"/>
        <color rgb="FF63BE7B"/>
      </colorScale>
    </cfRule>
  </conditionalFormatting>
  <conditionalFormatting pivot="1" sqref="L11:O11">
    <cfRule type="colorScale" priority="6">
      <colorScale>
        <cfvo type="min"/>
        <cfvo type="max"/>
        <color rgb="FFFCFCFF"/>
        <color rgb="FF63BE7B"/>
      </colorScale>
    </cfRule>
  </conditionalFormatting>
  <conditionalFormatting pivot="1" sqref="L6:O6">
    <cfRule type="colorScale" priority="5">
      <colorScale>
        <cfvo type="min"/>
        <cfvo type="max"/>
        <color rgb="FFFCFCFF"/>
        <color rgb="FF63BE7B"/>
      </colorScale>
    </cfRule>
  </conditionalFormatting>
  <conditionalFormatting pivot="1" sqref="L8:O8">
    <cfRule type="colorScale" priority="4">
      <colorScale>
        <cfvo type="min"/>
        <cfvo type="max"/>
        <color rgb="FFFCFCFF"/>
        <color rgb="FF63BE7B"/>
      </colorScale>
    </cfRule>
  </conditionalFormatting>
  <conditionalFormatting pivot="1">
    <cfRule type="colorScale" priority="3">
      <colorScale>
        <cfvo type="min"/>
        <cfvo type="max"/>
        <color rgb="FFFCFCFF"/>
        <color rgb="FF63BE7B"/>
      </colorScale>
    </cfRule>
  </conditionalFormatting>
  <conditionalFormatting pivot="1" sqref="L7:O7">
    <cfRule type="colorScale" priority="2">
      <colorScale>
        <cfvo type="min"/>
        <cfvo type="max"/>
        <color rgb="FFFCFCFF"/>
        <color rgb="FF63BE7B"/>
      </colorScale>
    </cfRule>
  </conditionalFormatting>
  <conditionalFormatting pivot="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2D113DA8-C723-41BD-AF5F-53F2F57B4B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B2:B6</xm:sqref>
        </x14:conditionalFormatting>
        <x14:conditionalFormatting xmlns:xm="http://schemas.microsoft.com/office/excel/2006/main" pivot="1">
          <x14:cfRule type="dataBar" id="{7F231879-D14E-4939-948F-6B59FB38A4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G2:G3 G9:G11 G5:G7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2:H602"/>
  <sheetViews>
    <sheetView workbookViewId="0">
      <selection activeCell="I2" sqref="I2"/>
    </sheetView>
  </sheetViews>
  <sheetFormatPr baseColWidth="10" defaultRowHeight="22.5" customHeight="1" x14ac:dyDescent="0.25"/>
  <cols>
    <col min="1" max="1" width="19.85546875" customWidth="1"/>
    <col min="4" max="4" width="13.85546875" customWidth="1"/>
    <col min="5" max="5" width="14.85546875" customWidth="1"/>
    <col min="6" max="6" width="13" bestFit="1" customWidth="1"/>
    <col min="7" max="8" width="12.28515625" bestFit="1" customWidth="1"/>
  </cols>
  <sheetData>
    <row r="2" spans="1:8" ht="22.5" customHeight="1" x14ac:dyDescent="0.25">
      <c r="A2" s="3" t="s">
        <v>5</v>
      </c>
      <c r="B2" s="3" t="s">
        <v>33</v>
      </c>
      <c r="C2" s="3" t="s">
        <v>34</v>
      </c>
      <c r="D2" s="3" t="s">
        <v>35</v>
      </c>
      <c r="E2" s="3" t="s">
        <v>23</v>
      </c>
      <c r="F2" s="3" t="s">
        <v>52</v>
      </c>
      <c r="G2" s="3" t="s">
        <v>53</v>
      </c>
      <c r="H2" s="3" t="s">
        <v>68</v>
      </c>
    </row>
    <row r="3" spans="1:8" ht="22.5" customHeight="1" x14ac:dyDescent="0.25">
      <c r="A3" t="s">
        <v>6</v>
      </c>
      <c r="B3" t="str">
        <f ca="1">VLOOKUP(RANDBETWEEN(1,3),Tabla1[],2,FALSE)</f>
        <v>Central</v>
      </c>
      <c r="C3">
        <v>2020</v>
      </c>
      <c r="D3" t="str">
        <f ca="1">VLOOKUP(RANDBETWEEN(1,4),Tabla2[],2,FALSE)</f>
        <v>2do Trimestre</v>
      </c>
      <c r="E3" t="str">
        <f ca="1">VLOOKUP(RANDBETWEEN(1,8),Tabla3[],2,FALSE)</f>
        <v>Monitores</v>
      </c>
      <c r="F3" s="15">
        <f ca="1">VLOOKUP(RANDBETWEEN(1,12),Tabla4[],2,FALSE)</f>
        <v>415765</v>
      </c>
      <c r="G3" s="15">
        <f ca="1">Tabladatos[[#This Row],[Ingresos]]*VLOOKUP(RANDBETWEEN(1,10),Tabla5[],2,FALSE)</f>
        <v>103941.25</v>
      </c>
      <c r="H3" s="15">
        <f ca="1">Tabladatos[[#This Row],[Ingresos]]-Tabladatos[[#This Row],[Costos]]</f>
        <v>311823.75</v>
      </c>
    </row>
    <row r="4" spans="1:8" ht="22.5" customHeight="1" x14ac:dyDescent="0.25">
      <c r="A4" t="s">
        <v>6</v>
      </c>
      <c r="B4" t="str">
        <f ca="1">VLOOKUP(RANDBETWEEN(1,3),Tabla1[],2,FALSE)</f>
        <v xml:space="preserve">Sur </v>
      </c>
      <c r="C4">
        <v>2020</v>
      </c>
      <c r="D4" t="str">
        <f ca="1">VLOOKUP(RANDBETWEEN(1,4),Tabla2[],2,FALSE)</f>
        <v>2do Trimestre</v>
      </c>
      <c r="E4" t="str">
        <f ca="1">VLOOKUP(RANDBETWEEN(1,8),Tabla3[],2,FALSE)</f>
        <v>Memorias USB</v>
      </c>
      <c r="F4" s="15">
        <f ca="1">VLOOKUP(RANDBETWEEN(1,12),Tabla4[],2,FALSE)</f>
        <v>365285</v>
      </c>
      <c r="G4" s="15">
        <f ca="1">Tabladatos[[#This Row],[Ingresos]]*VLOOKUP(RANDBETWEEN(1,10),Tabla5[],2,FALSE)</f>
        <v>292228</v>
      </c>
      <c r="H4" s="15">
        <f ca="1">Tabladatos[[#This Row],[Ingresos]]-Tabladatos[[#This Row],[Costos]]</f>
        <v>73057</v>
      </c>
    </row>
    <row r="5" spans="1:8" ht="22.5" customHeight="1" x14ac:dyDescent="0.25">
      <c r="A5" t="s">
        <v>6</v>
      </c>
      <c r="B5" t="str">
        <f ca="1">VLOOKUP(RANDBETWEEN(1,3),Tabla1[],2,FALSE)</f>
        <v xml:space="preserve">Sur </v>
      </c>
      <c r="C5">
        <v>2020</v>
      </c>
      <c r="D5" t="str">
        <f ca="1">VLOOKUP(RANDBETWEEN(1,4),Tabla2[],2,FALSE)</f>
        <v>1er Trimestre</v>
      </c>
      <c r="E5" t="str">
        <f ca="1">VLOOKUP(RANDBETWEEN(1,8),Tabla3[],2,FALSE)</f>
        <v>Computadoras</v>
      </c>
      <c r="F5" s="15">
        <f ca="1">VLOOKUP(RANDBETWEEN(1,12),Tabla4[],2,FALSE)</f>
        <v>535990</v>
      </c>
      <c r="G5" s="15">
        <f ca="1">Tabladatos[[#This Row],[Ingresos]]*VLOOKUP(RANDBETWEEN(1,10),Tabla5[],2,FALSE)</f>
        <v>53599</v>
      </c>
      <c r="H5" s="15">
        <f ca="1">Tabladatos[[#This Row],[Ingresos]]-Tabladatos[[#This Row],[Costos]]</f>
        <v>482391</v>
      </c>
    </row>
    <row r="6" spans="1:8" ht="22.5" customHeight="1" x14ac:dyDescent="0.25">
      <c r="A6" t="s">
        <v>6</v>
      </c>
      <c r="B6" t="str">
        <f ca="1">VLOOKUP(RANDBETWEEN(1,3),Tabla1[],2,FALSE)</f>
        <v>Norte</v>
      </c>
      <c r="C6">
        <v>2020</v>
      </c>
      <c r="D6" t="str">
        <f ca="1">VLOOKUP(RANDBETWEEN(1,4),Tabla2[],2,FALSE)</f>
        <v>2do Trimestre</v>
      </c>
      <c r="E6" t="str">
        <f ca="1">VLOOKUP(RANDBETWEEN(1,8),Tabla3[],2,FALSE)</f>
        <v>Laptops</v>
      </c>
      <c r="F6" s="15">
        <f ca="1">VLOOKUP(RANDBETWEEN(1,12),Tabla4[],2,FALSE)</f>
        <v>95945</v>
      </c>
      <c r="G6" s="15">
        <f ca="1">Tabladatos[[#This Row],[Ingresos]]*VLOOKUP(RANDBETWEEN(1,10),Tabla5[],2,FALSE)</f>
        <v>9594.5</v>
      </c>
      <c r="H6" s="15">
        <f ca="1">Tabladatos[[#This Row],[Ingresos]]-Tabladatos[[#This Row],[Costos]]</f>
        <v>86350.5</v>
      </c>
    </row>
    <row r="7" spans="1:8" ht="22.5" customHeight="1" x14ac:dyDescent="0.25">
      <c r="A7" t="s">
        <v>6</v>
      </c>
      <c r="B7" t="str">
        <f ca="1">VLOOKUP(RANDBETWEEN(1,3),Tabla1[],2,FALSE)</f>
        <v xml:space="preserve">Sur </v>
      </c>
      <c r="C7">
        <v>2020</v>
      </c>
      <c r="D7" t="str">
        <f ca="1">VLOOKUP(RANDBETWEEN(1,4),Tabla2[],2,FALSE)</f>
        <v>2do Trimestre</v>
      </c>
      <c r="E7" t="str">
        <f ca="1">VLOOKUP(RANDBETWEEN(1,8),Tabla3[],2,FALSE)</f>
        <v>Monitores</v>
      </c>
      <c r="F7" s="15">
        <f ca="1">VLOOKUP(RANDBETWEEN(1,12),Tabla4[],2,FALSE)</f>
        <v>490000</v>
      </c>
      <c r="G7" s="15">
        <f ca="1">Tabladatos[[#This Row],[Ingresos]]*VLOOKUP(RANDBETWEEN(1,10),Tabla5[],2,FALSE)</f>
        <v>245000</v>
      </c>
      <c r="H7" s="15">
        <f ca="1">Tabladatos[[#This Row],[Ingresos]]-Tabladatos[[#This Row],[Costos]]</f>
        <v>245000</v>
      </c>
    </row>
    <row r="8" spans="1:8" ht="22.5" customHeight="1" x14ac:dyDescent="0.25">
      <c r="A8" t="s">
        <v>6</v>
      </c>
      <c r="B8" t="str">
        <f ca="1">VLOOKUP(RANDBETWEEN(1,3),Tabla1[],2,FALSE)</f>
        <v>Norte</v>
      </c>
      <c r="C8">
        <v>2020</v>
      </c>
      <c r="D8" t="str">
        <f ca="1">VLOOKUP(RANDBETWEEN(1,4),Tabla2[],2,FALSE)</f>
        <v>2do Trimestre</v>
      </c>
      <c r="E8" t="str">
        <f ca="1">VLOOKUP(RANDBETWEEN(1,8),Tabla3[],2,FALSE)</f>
        <v>Computadoras</v>
      </c>
      <c r="F8" s="15">
        <f ca="1">VLOOKUP(RANDBETWEEN(1,12),Tabla4[],2,FALSE)</f>
        <v>27300</v>
      </c>
      <c r="G8" s="15">
        <f ca="1">Tabladatos[[#This Row],[Ingresos]]*VLOOKUP(RANDBETWEEN(1,10),Tabla5[],2,FALSE)</f>
        <v>13650</v>
      </c>
      <c r="H8" s="15">
        <f ca="1">Tabladatos[[#This Row],[Ingresos]]-Tabladatos[[#This Row],[Costos]]</f>
        <v>13650</v>
      </c>
    </row>
    <row r="9" spans="1:8" ht="22.5" customHeight="1" x14ac:dyDescent="0.25">
      <c r="A9" t="s">
        <v>6</v>
      </c>
      <c r="B9" t="str">
        <f ca="1">VLOOKUP(RANDBETWEEN(1,3),Tabla1[],2,FALSE)</f>
        <v>Norte</v>
      </c>
      <c r="C9">
        <v>2020</v>
      </c>
      <c r="D9" t="str">
        <f ca="1">VLOOKUP(RANDBETWEEN(1,4),Tabla2[],2,FALSE)</f>
        <v>2do Trimestre</v>
      </c>
      <c r="E9" t="str">
        <f ca="1">VLOOKUP(RANDBETWEEN(1,8),Tabla3[],2,FALSE)</f>
        <v>Impresoras</v>
      </c>
      <c r="F9" s="15">
        <f ca="1">VLOOKUP(RANDBETWEEN(1,12),Tabla4[],2,FALSE)</f>
        <v>120460</v>
      </c>
      <c r="G9" s="15">
        <f ca="1">Tabladatos[[#This Row],[Ingresos]]*VLOOKUP(RANDBETWEEN(1,10),Tabla5[],2,FALSE)</f>
        <v>24092</v>
      </c>
      <c r="H9" s="15">
        <f ca="1">Tabladatos[[#This Row],[Ingresos]]-Tabladatos[[#This Row],[Costos]]</f>
        <v>96368</v>
      </c>
    </row>
    <row r="10" spans="1:8" ht="22.5" customHeight="1" x14ac:dyDescent="0.25">
      <c r="A10" t="s">
        <v>6</v>
      </c>
      <c r="B10" t="str">
        <f ca="1">VLOOKUP(RANDBETWEEN(1,3),Tabla1[],2,FALSE)</f>
        <v xml:space="preserve">Sur </v>
      </c>
      <c r="C10">
        <v>2020</v>
      </c>
      <c r="D10" t="str">
        <f ca="1">VLOOKUP(RANDBETWEEN(1,4),Tabla2[],2,FALSE)</f>
        <v>2do Trimestre</v>
      </c>
      <c r="E10" t="str">
        <f ca="1">VLOOKUP(RANDBETWEEN(1,8),Tabla3[],2,FALSE)</f>
        <v>Laptops</v>
      </c>
      <c r="F10" s="15">
        <f ca="1">VLOOKUP(RANDBETWEEN(1,12),Tabla4[],2,FALSE)</f>
        <v>535990</v>
      </c>
      <c r="G10" s="15">
        <f ca="1">Tabladatos[[#This Row],[Ingresos]]*VLOOKUP(RANDBETWEEN(1,10),Tabla5[],2,FALSE)</f>
        <v>80398.5</v>
      </c>
      <c r="H10" s="15">
        <f ca="1">Tabladatos[[#This Row],[Ingresos]]-Tabladatos[[#This Row],[Costos]]</f>
        <v>455591.5</v>
      </c>
    </row>
    <row r="11" spans="1:8" ht="22.5" customHeight="1" x14ac:dyDescent="0.25">
      <c r="A11" t="s">
        <v>6</v>
      </c>
      <c r="B11" t="str">
        <f ca="1">VLOOKUP(RANDBETWEEN(1,3),Tabla1[],2,FALSE)</f>
        <v>Norte</v>
      </c>
      <c r="C11">
        <v>2020</v>
      </c>
      <c r="D11" t="str">
        <f ca="1">VLOOKUP(RANDBETWEEN(1,4),Tabla2[],2,FALSE)</f>
        <v>3er Trimestre</v>
      </c>
      <c r="E11" t="str">
        <f ca="1">VLOOKUP(RANDBETWEEN(1,8),Tabla3[],2,FALSE)</f>
        <v>Laptops</v>
      </c>
      <c r="F11" s="15">
        <f ca="1">VLOOKUP(RANDBETWEEN(1,12),Tabla4[],2,FALSE)</f>
        <v>300000</v>
      </c>
      <c r="G11" s="15">
        <f ca="1">Tabladatos[[#This Row],[Ingresos]]*VLOOKUP(RANDBETWEEN(1,10),Tabla5[],2,FALSE)</f>
        <v>60000</v>
      </c>
      <c r="H11" s="15">
        <f ca="1">Tabladatos[[#This Row],[Ingresos]]-Tabladatos[[#This Row],[Costos]]</f>
        <v>240000</v>
      </c>
    </row>
    <row r="12" spans="1:8" ht="22.5" customHeight="1" x14ac:dyDescent="0.25">
      <c r="A12" t="s">
        <v>6</v>
      </c>
      <c r="B12" t="str">
        <f ca="1">VLOOKUP(RANDBETWEEN(1,3),Tabla1[],2,FALSE)</f>
        <v>Central</v>
      </c>
      <c r="C12">
        <v>2020</v>
      </c>
      <c r="D12" t="str">
        <f ca="1">VLOOKUP(RANDBETWEEN(1,4),Tabla2[],2,FALSE)</f>
        <v>2do Trimestre</v>
      </c>
      <c r="E12" t="str">
        <f ca="1">VLOOKUP(RANDBETWEEN(1,8),Tabla3[],2,FALSE)</f>
        <v>SSD</v>
      </c>
      <c r="F12" s="15">
        <f ca="1">VLOOKUP(RANDBETWEEN(1,12),Tabla4[],2,FALSE)</f>
        <v>490000</v>
      </c>
      <c r="G12" s="15">
        <f ca="1">Tabladatos[[#This Row],[Ingresos]]*VLOOKUP(RANDBETWEEN(1,10),Tabla5[],2,FALSE)</f>
        <v>294000</v>
      </c>
      <c r="H12" s="15">
        <f ca="1">Tabladatos[[#This Row],[Ingresos]]-Tabladatos[[#This Row],[Costos]]</f>
        <v>196000</v>
      </c>
    </row>
    <row r="13" spans="1:8" ht="22.5" customHeight="1" x14ac:dyDescent="0.25">
      <c r="A13" t="s">
        <v>6</v>
      </c>
      <c r="B13" t="str">
        <f ca="1">VLOOKUP(RANDBETWEEN(1,3),Tabla1[],2,FALSE)</f>
        <v>Central</v>
      </c>
      <c r="C13">
        <v>2020</v>
      </c>
      <c r="D13" t="str">
        <f ca="1">VLOOKUP(RANDBETWEEN(1,4),Tabla2[],2,FALSE)</f>
        <v>1er Trimestre</v>
      </c>
      <c r="E13" t="str">
        <f ca="1">VLOOKUP(RANDBETWEEN(1,8),Tabla3[],2,FALSE)</f>
        <v>Tarjetas Wifi</v>
      </c>
      <c r="F13" s="15">
        <f ca="1">VLOOKUP(RANDBETWEEN(1,12),Tabla4[],2,FALSE)</f>
        <v>120460</v>
      </c>
      <c r="G13" s="15">
        <f ca="1">Tabladatos[[#This Row],[Ingresos]]*VLOOKUP(RANDBETWEEN(1,10),Tabla5[],2,FALSE)</f>
        <v>72276</v>
      </c>
      <c r="H13" s="15">
        <f ca="1">Tabladatos[[#This Row],[Ingresos]]-Tabladatos[[#This Row],[Costos]]</f>
        <v>48184</v>
      </c>
    </row>
    <row r="14" spans="1:8" ht="22.5" customHeight="1" x14ac:dyDescent="0.25">
      <c r="A14" t="s">
        <v>6</v>
      </c>
      <c r="B14" t="str">
        <f ca="1">VLOOKUP(RANDBETWEEN(1,3),Tabla1[],2,FALSE)</f>
        <v>Norte</v>
      </c>
      <c r="C14">
        <v>2020</v>
      </c>
      <c r="D14" t="str">
        <f ca="1">VLOOKUP(RANDBETWEEN(1,4),Tabla2[],2,FALSE)</f>
        <v>1er Trimestre</v>
      </c>
      <c r="E14" t="str">
        <f ca="1">VLOOKUP(RANDBETWEEN(1,8),Tabla3[],2,FALSE)</f>
        <v>Impresoras</v>
      </c>
      <c r="F14" s="15">
        <f ca="1">VLOOKUP(RANDBETWEEN(1,12),Tabla4[],2,FALSE)</f>
        <v>120460</v>
      </c>
      <c r="G14" s="15">
        <f ca="1">Tabladatos[[#This Row],[Ingresos]]*VLOOKUP(RANDBETWEEN(1,10),Tabla5[],2,FALSE)</f>
        <v>60230</v>
      </c>
      <c r="H14" s="15">
        <f ca="1">Tabladatos[[#This Row],[Ingresos]]-Tabladatos[[#This Row],[Costos]]</f>
        <v>60230</v>
      </c>
    </row>
    <row r="15" spans="1:8" ht="22.5" customHeight="1" x14ac:dyDescent="0.25">
      <c r="A15" t="s">
        <v>6</v>
      </c>
      <c r="B15" t="str">
        <f ca="1">VLOOKUP(RANDBETWEEN(1,3),Tabla1[],2,FALSE)</f>
        <v xml:space="preserve">Sur </v>
      </c>
      <c r="C15">
        <v>2020</v>
      </c>
      <c r="D15" t="str">
        <f ca="1">VLOOKUP(RANDBETWEEN(1,4),Tabla2[],2,FALSE)</f>
        <v>4to Trimestre</v>
      </c>
      <c r="E15" t="str">
        <f ca="1">VLOOKUP(RANDBETWEEN(1,8),Tabla3[],2,FALSE)</f>
        <v>Computadoras</v>
      </c>
      <c r="F15" s="15">
        <f ca="1">VLOOKUP(RANDBETWEEN(1,12),Tabla4[],2,FALSE)</f>
        <v>365285</v>
      </c>
      <c r="G15" s="15">
        <f ca="1">Tabladatos[[#This Row],[Ingresos]]*VLOOKUP(RANDBETWEEN(1,10),Tabla5[],2,FALSE)</f>
        <v>219171</v>
      </c>
      <c r="H15" s="15">
        <f ca="1">Tabladatos[[#This Row],[Ingresos]]-Tabladatos[[#This Row],[Costos]]</f>
        <v>146114</v>
      </c>
    </row>
    <row r="16" spans="1:8" ht="22.5" customHeight="1" x14ac:dyDescent="0.25">
      <c r="A16" t="s">
        <v>6</v>
      </c>
      <c r="B16" t="str">
        <f ca="1">VLOOKUP(RANDBETWEEN(1,3),Tabla1[],2,FALSE)</f>
        <v>Central</v>
      </c>
      <c r="C16">
        <v>2020</v>
      </c>
      <c r="D16" t="str">
        <f ca="1">VLOOKUP(RANDBETWEEN(1,4),Tabla2[],2,FALSE)</f>
        <v>4to Trimestre</v>
      </c>
      <c r="E16" t="str">
        <f ca="1">VLOOKUP(RANDBETWEEN(1,8),Tabla3[],2,FALSE)</f>
        <v>Tarjetas Wifi</v>
      </c>
      <c r="F16" s="15">
        <f ca="1">VLOOKUP(RANDBETWEEN(1,12),Tabla4[],2,FALSE)</f>
        <v>27300</v>
      </c>
      <c r="G16" s="15">
        <f ca="1">Tabladatos[[#This Row],[Ingresos]]*VLOOKUP(RANDBETWEEN(1,10),Tabla5[],2,FALSE)</f>
        <v>4095</v>
      </c>
      <c r="H16" s="15">
        <f ca="1">Tabladatos[[#This Row],[Ingresos]]-Tabladatos[[#This Row],[Costos]]</f>
        <v>23205</v>
      </c>
    </row>
    <row r="17" spans="1:8" ht="22.5" customHeight="1" x14ac:dyDescent="0.25">
      <c r="A17" t="s">
        <v>6</v>
      </c>
      <c r="B17" t="str">
        <f ca="1">VLOOKUP(RANDBETWEEN(1,3),Tabla1[],2,FALSE)</f>
        <v>Central</v>
      </c>
      <c r="C17">
        <v>2020</v>
      </c>
      <c r="D17" t="str">
        <f ca="1">VLOOKUP(RANDBETWEEN(1,4),Tabla2[],2,FALSE)</f>
        <v>4to Trimestre</v>
      </c>
      <c r="E17" t="str">
        <f ca="1">VLOOKUP(RANDBETWEEN(1,8),Tabla3[],2,FALSE)</f>
        <v>Memorias USB</v>
      </c>
      <c r="F17" s="15">
        <f ca="1">VLOOKUP(RANDBETWEEN(1,12),Tabla4[],2,FALSE)</f>
        <v>170000</v>
      </c>
      <c r="G17" s="15">
        <f ca="1">Tabladatos[[#This Row],[Ingresos]]*VLOOKUP(RANDBETWEEN(1,10),Tabla5[],2,FALSE)</f>
        <v>42500</v>
      </c>
      <c r="H17" s="15">
        <f ca="1">Tabladatos[[#This Row],[Ingresos]]-Tabladatos[[#This Row],[Costos]]</f>
        <v>127500</v>
      </c>
    </row>
    <row r="18" spans="1:8" ht="22.5" customHeight="1" x14ac:dyDescent="0.25">
      <c r="A18" t="s">
        <v>6</v>
      </c>
      <c r="B18" t="str">
        <f ca="1">VLOOKUP(RANDBETWEEN(1,3),Tabla1[],2,FALSE)</f>
        <v>Central</v>
      </c>
      <c r="C18">
        <v>2020</v>
      </c>
      <c r="D18" t="str">
        <f ca="1">VLOOKUP(RANDBETWEEN(1,4),Tabla2[],2,FALSE)</f>
        <v>1er Trimestre</v>
      </c>
      <c r="E18" t="str">
        <f ca="1">VLOOKUP(RANDBETWEEN(1,8),Tabla3[],2,FALSE)</f>
        <v>Tarjetas Wifi</v>
      </c>
      <c r="F18" s="15">
        <f ca="1">VLOOKUP(RANDBETWEEN(1,12),Tabla4[],2,FALSE)</f>
        <v>599800</v>
      </c>
      <c r="G18" s="15">
        <f ca="1">Tabladatos[[#This Row],[Ingresos]]*VLOOKUP(RANDBETWEEN(1,10),Tabla5[],2,FALSE)</f>
        <v>299900</v>
      </c>
      <c r="H18" s="15">
        <f ca="1">Tabladatos[[#This Row],[Ingresos]]-Tabladatos[[#This Row],[Costos]]</f>
        <v>299900</v>
      </c>
    </row>
    <row r="19" spans="1:8" ht="22.5" customHeight="1" x14ac:dyDescent="0.25">
      <c r="A19" t="s">
        <v>6</v>
      </c>
      <c r="B19" t="str">
        <f ca="1">VLOOKUP(RANDBETWEEN(1,3),Tabla1[],2,FALSE)</f>
        <v>Central</v>
      </c>
      <c r="C19">
        <v>2020</v>
      </c>
      <c r="D19" t="str">
        <f ca="1">VLOOKUP(RANDBETWEEN(1,4),Tabla2[],2,FALSE)</f>
        <v>2do Trimestre</v>
      </c>
      <c r="E19" t="str">
        <f ca="1">VLOOKUP(RANDBETWEEN(1,8),Tabla3[],2,FALSE)</f>
        <v>Monitores</v>
      </c>
      <c r="F19" s="15">
        <f ca="1">VLOOKUP(RANDBETWEEN(1,12),Tabla4[],2,FALSE)</f>
        <v>365285</v>
      </c>
      <c r="G19" s="15">
        <f ca="1">Tabladatos[[#This Row],[Ingresos]]*VLOOKUP(RANDBETWEEN(1,10),Tabla5[],2,FALSE)</f>
        <v>219171</v>
      </c>
      <c r="H19" s="15">
        <f ca="1">Tabladatos[[#This Row],[Ingresos]]-Tabladatos[[#This Row],[Costos]]</f>
        <v>146114</v>
      </c>
    </row>
    <row r="20" spans="1:8" ht="22.5" customHeight="1" x14ac:dyDescent="0.25">
      <c r="A20" t="s">
        <v>6</v>
      </c>
      <c r="B20" t="str">
        <f ca="1">VLOOKUP(RANDBETWEEN(1,3),Tabla1[],2,FALSE)</f>
        <v>Central</v>
      </c>
      <c r="C20">
        <v>2020</v>
      </c>
      <c r="D20" t="str">
        <f ca="1">VLOOKUP(RANDBETWEEN(1,4),Tabla2[],2,FALSE)</f>
        <v>1er Trimestre</v>
      </c>
      <c r="E20" t="str">
        <f ca="1">VLOOKUP(RANDBETWEEN(1,8),Tabla3[],2,FALSE)</f>
        <v>Escáners</v>
      </c>
      <c r="F20" s="15">
        <f ca="1">VLOOKUP(RANDBETWEEN(1,12),Tabla4[],2,FALSE)</f>
        <v>599800</v>
      </c>
      <c r="G20" s="15">
        <f ca="1">Tabladatos[[#This Row],[Ingresos]]*VLOOKUP(RANDBETWEEN(1,10),Tabla5[],2,FALSE)</f>
        <v>119960</v>
      </c>
      <c r="H20" s="15">
        <f ca="1">Tabladatos[[#This Row],[Ingresos]]-Tabladatos[[#This Row],[Costos]]</f>
        <v>479840</v>
      </c>
    </row>
    <row r="21" spans="1:8" ht="22.5" customHeight="1" x14ac:dyDescent="0.25">
      <c r="A21" t="s">
        <v>6</v>
      </c>
      <c r="B21" t="str">
        <f ca="1">VLOOKUP(RANDBETWEEN(1,3),Tabla1[],2,FALSE)</f>
        <v>Central</v>
      </c>
      <c r="C21">
        <v>2020</v>
      </c>
      <c r="D21" t="str">
        <f ca="1">VLOOKUP(RANDBETWEEN(1,4),Tabla2[],2,FALSE)</f>
        <v>2do Trimestre</v>
      </c>
      <c r="E21" t="str">
        <f ca="1">VLOOKUP(RANDBETWEEN(1,8),Tabla3[],2,FALSE)</f>
        <v>SSD</v>
      </c>
      <c r="F21" s="15">
        <f ca="1">VLOOKUP(RANDBETWEEN(1,12),Tabla4[],2,FALSE)</f>
        <v>27300</v>
      </c>
      <c r="G21" s="15">
        <f ca="1">Tabladatos[[#This Row],[Ingresos]]*VLOOKUP(RANDBETWEEN(1,10),Tabla5[],2,FALSE)</f>
        <v>21840</v>
      </c>
      <c r="H21" s="15">
        <f ca="1">Tabladatos[[#This Row],[Ingresos]]-Tabladatos[[#This Row],[Costos]]</f>
        <v>5460</v>
      </c>
    </row>
    <row r="22" spans="1:8" ht="22.5" customHeight="1" x14ac:dyDescent="0.25">
      <c r="A22" t="s">
        <v>6</v>
      </c>
      <c r="B22" t="str">
        <f ca="1">VLOOKUP(RANDBETWEEN(1,3),Tabla1[],2,FALSE)</f>
        <v>Central</v>
      </c>
      <c r="C22">
        <v>2020</v>
      </c>
      <c r="D22" t="str">
        <f ca="1">VLOOKUP(RANDBETWEEN(1,4),Tabla2[],2,FALSE)</f>
        <v>3er Trimestre</v>
      </c>
      <c r="E22" t="str">
        <f ca="1">VLOOKUP(RANDBETWEEN(1,8),Tabla3[],2,FALSE)</f>
        <v>SSD</v>
      </c>
      <c r="F22" s="15">
        <f ca="1">VLOOKUP(RANDBETWEEN(1,12),Tabla4[],2,FALSE)</f>
        <v>120460</v>
      </c>
      <c r="G22" s="15">
        <f ca="1">Tabladatos[[#This Row],[Ingresos]]*VLOOKUP(RANDBETWEEN(1,10),Tabla5[],2,FALSE)</f>
        <v>96368</v>
      </c>
      <c r="H22" s="15">
        <f ca="1">Tabladatos[[#This Row],[Ingresos]]-Tabladatos[[#This Row],[Costos]]</f>
        <v>24092</v>
      </c>
    </row>
    <row r="23" spans="1:8" ht="22.5" customHeight="1" x14ac:dyDescent="0.25">
      <c r="A23" t="s">
        <v>6</v>
      </c>
      <c r="B23" t="str">
        <f ca="1">VLOOKUP(RANDBETWEEN(1,3),Tabla1[],2,FALSE)</f>
        <v>Norte</v>
      </c>
      <c r="C23">
        <v>2020</v>
      </c>
      <c r="D23" t="str">
        <f ca="1">VLOOKUP(RANDBETWEEN(1,4),Tabla2[],2,FALSE)</f>
        <v>3er Trimestre</v>
      </c>
      <c r="E23" t="str">
        <f ca="1">VLOOKUP(RANDBETWEEN(1,8),Tabla3[],2,FALSE)</f>
        <v>Escáners</v>
      </c>
      <c r="F23" s="15">
        <f ca="1">VLOOKUP(RANDBETWEEN(1,12),Tabla4[],2,FALSE)</f>
        <v>490000</v>
      </c>
      <c r="G23" s="15">
        <f ca="1">Tabladatos[[#This Row],[Ingresos]]*VLOOKUP(RANDBETWEEN(1,10),Tabla5[],2,FALSE)</f>
        <v>122500</v>
      </c>
      <c r="H23" s="15">
        <f ca="1">Tabladatos[[#This Row],[Ingresos]]-Tabladatos[[#This Row],[Costos]]</f>
        <v>367500</v>
      </c>
    </row>
    <row r="24" spans="1:8" ht="22.5" customHeight="1" x14ac:dyDescent="0.25">
      <c r="A24" t="s">
        <v>6</v>
      </c>
      <c r="B24" t="str">
        <f ca="1">VLOOKUP(RANDBETWEEN(1,3),Tabla1[],2,FALSE)</f>
        <v>Central</v>
      </c>
      <c r="C24">
        <v>2020</v>
      </c>
      <c r="D24" t="str">
        <f ca="1">VLOOKUP(RANDBETWEEN(1,4),Tabla2[],2,FALSE)</f>
        <v>1er Trimestre</v>
      </c>
      <c r="E24" t="str">
        <f ca="1">VLOOKUP(RANDBETWEEN(1,8),Tabla3[],2,FALSE)</f>
        <v>Escáners</v>
      </c>
      <c r="F24" s="15">
        <f ca="1">VLOOKUP(RANDBETWEEN(1,12),Tabla4[],2,FALSE)</f>
        <v>365285</v>
      </c>
      <c r="G24" s="15">
        <f ca="1">Tabladatos[[#This Row],[Ingresos]]*VLOOKUP(RANDBETWEEN(1,10),Tabla5[],2,FALSE)</f>
        <v>91321.25</v>
      </c>
      <c r="H24" s="15">
        <f ca="1">Tabladatos[[#This Row],[Ingresos]]-Tabladatos[[#This Row],[Costos]]</f>
        <v>273963.75</v>
      </c>
    </row>
    <row r="25" spans="1:8" ht="22.5" customHeight="1" x14ac:dyDescent="0.25">
      <c r="A25" t="s">
        <v>6</v>
      </c>
      <c r="B25" t="str">
        <f ca="1">VLOOKUP(RANDBETWEEN(1,3),Tabla1[],2,FALSE)</f>
        <v>Central</v>
      </c>
      <c r="C25">
        <v>2020</v>
      </c>
      <c r="D25" t="str">
        <f ca="1">VLOOKUP(RANDBETWEEN(1,4),Tabla2[],2,FALSE)</f>
        <v>4to Trimestre</v>
      </c>
      <c r="E25" t="str">
        <f ca="1">VLOOKUP(RANDBETWEEN(1,8),Tabla3[],2,FALSE)</f>
        <v>Tarjetas Wifi</v>
      </c>
      <c r="F25" s="15">
        <f ca="1">VLOOKUP(RANDBETWEEN(1,12),Tabla4[],2,FALSE)</f>
        <v>27300</v>
      </c>
      <c r="G25" s="15">
        <f ca="1">Tabladatos[[#This Row],[Ingresos]]*VLOOKUP(RANDBETWEEN(1,10),Tabla5[],2,FALSE)</f>
        <v>10920</v>
      </c>
      <c r="H25" s="15">
        <f ca="1">Tabladatos[[#This Row],[Ingresos]]-Tabladatos[[#This Row],[Costos]]</f>
        <v>16380</v>
      </c>
    </row>
    <row r="26" spans="1:8" ht="22.5" customHeight="1" x14ac:dyDescent="0.25">
      <c r="A26" t="s">
        <v>6</v>
      </c>
      <c r="B26" t="str">
        <f ca="1">VLOOKUP(RANDBETWEEN(1,3),Tabla1[],2,FALSE)</f>
        <v xml:space="preserve">Sur </v>
      </c>
      <c r="C26">
        <v>2020</v>
      </c>
      <c r="D26" t="str">
        <f ca="1">VLOOKUP(RANDBETWEEN(1,4),Tabla2[],2,FALSE)</f>
        <v>3er Trimestre</v>
      </c>
      <c r="E26" t="str">
        <f ca="1">VLOOKUP(RANDBETWEEN(1,8),Tabla3[],2,FALSE)</f>
        <v>Computadoras</v>
      </c>
      <c r="F26" s="15">
        <f ca="1">VLOOKUP(RANDBETWEEN(1,12),Tabla4[],2,FALSE)</f>
        <v>535990</v>
      </c>
      <c r="G26" s="15">
        <f ca="1">Tabladatos[[#This Row],[Ingresos]]*VLOOKUP(RANDBETWEEN(1,10),Tabla5[],2,FALSE)</f>
        <v>133997.5</v>
      </c>
      <c r="H26" s="15">
        <f ca="1">Tabladatos[[#This Row],[Ingresos]]-Tabladatos[[#This Row],[Costos]]</f>
        <v>401992.5</v>
      </c>
    </row>
    <row r="27" spans="1:8" ht="22.5" customHeight="1" x14ac:dyDescent="0.25">
      <c r="A27" t="s">
        <v>6</v>
      </c>
      <c r="B27" t="str">
        <f ca="1">VLOOKUP(RANDBETWEEN(1,3),Tabla1[],2,FALSE)</f>
        <v>Norte</v>
      </c>
      <c r="C27">
        <v>2020</v>
      </c>
      <c r="D27" t="str">
        <f ca="1">VLOOKUP(RANDBETWEEN(1,4),Tabla2[],2,FALSE)</f>
        <v>4to Trimestre</v>
      </c>
      <c r="E27" t="str">
        <f ca="1">VLOOKUP(RANDBETWEEN(1,8),Tabla3[],2,FALSE)</f>
        <v>Laptops</v>
      </c>
      <c r="F27" s="15">
        <f ca="1">VLOOKUP(RANDBETWEEN(1,12),Tabla4[],2,FALSE)</f>
        <v>300000</v>
      </c>
      <c r="G27" s="15">
        <f ca="1">Tabladatos[[#This Row],[Ingresos]]*VLOOKUP(RANDBETWEEN(1,10),Tabla5[],2,FALSE)</f>
        <v>240000</v>
      </c>
      <c r="H27" s="15">
        <f ca="1">Tabladatos[[#This Row],[Ingresos]]-Tabladatos[[#This Row],[Costos]]</f>
        <v>60000</v>
      </c>
    </row>
    <row r="28" spans="1:8" ht="22.5" customHeight="1" x14ac:dyDescent="0.25">
      <c r="A28" t="s">
        <v>6</v>
      </c>
      <c r="B28" t="str">
        <f ca="1">VLOOKUP(RANDBETWEEN(1,3),Tabla1[],2,FALSE)</f>
        <v>Central</v>
      </c>
      <c r="C28">
        <v>2020</v>
      </c>
      <c r="D28" t="str">
        <f ca="1">VLOOKUP(RANDBETWEEN(1,4),Tabla2[],2,FALSE)</f>
        <v>4to Trimestre</v>
      </c>
      <c r="E28" t="str">
        <f ca="1">VLOOKUP(RANDBETWEEN(1,8),Tabla3[],2,FALSE)</f>
        <v>Tarjetas Wifi</v>
      </c>
      <c r="F28" s="15">
        <f ca="1">VLOOKUP(RANDBETWEEN(1,12),Tabla4[],2,FALSE)</f>
        <v>535990</v>
      </c>
      <c r="G28" s="15">
        <f ca="1">Tabladatos[[#This Row],[Ingresos]]*VLOOKUP(RANDBETWEEN(1,10),Tabla5[],2,FALSE)</f>
        <v>321594</v>
      </c>
      <c r="H28" s="15">
        <f ca="1">Tabladatos[[#This Row],[Ingresos]]-Tabladatos[[#This Row],[Costos]]</f>
        <v>214396</v>
      </c>
    </row>
    <row r="29" spans="1:8" ht="22.5" customHeight="1" x14ac:dyDescent="0.25">
      <c r="A29" t="s">
        <v>6</v>
      </c>
      <c r="B29" t="str">
        <f ca="1">VLOOKUP(RANDBETWEEN(1,3),Tabla1[],2,FALSE)</f>
        <v>Norte</v>
      </c>
      <c r="C29">
        <v>2020</v>
      </c>
      <c r="D29" t="str">
        <f ca="1">VLOOKUP(RANDBETWEEN(1,4),Tabla2[],2,FALSE)</f>
        <v>4to Trimestre</v>
      </c>
      <c r="E29" t="str">
        <f ca="1">VLOOKUP(RANDBETWEEN(1,8),Tabla3[],2,FALSE)</f>
        <v>Laptops</v>
      </c>
      <c r="F29" s="15">
        <f ca="1">VLOOKUP(RANDBETWEEN(1,12),Tabla4[],2,FALSE)</f>
        <v>95945</v>
      </c>
      <c r="G29" s="15">
        <f ca="1">Tabladatos[[#This Row],[Ingresos]]*VLOOKUP(RANDBETWEEN(1,10),Tabla5[],2,FALSE)</f>
        <v>23986.25</v>
      </c>
      <c r="H29" s="15">
        <f ca="1">Tabladatos[[#This Row],[Ingresos]]-Tabladatos[[#This Row],[Costos]]</f>
        <v>71958.75</v>
      </c>
    </row>
    <row r="30" spans="1:8" ht="22.5" customHeight="1" x14ac:dyDescent="0.25">
      <c r="A30" t="s">
        <v>6</v>
      </c>
      <c r="B30" t="str">
        <f ca="1">VLOOKUP(RANDBETWEEN(1,3),Tabla1[],2,FALSE)</f>
        <v xml:space="preserve">Sur </v>
      </c>
      <c r="C30">
        <v>2020</v>
      </c>
      <c r="D30" t="str">
        <f ca="1">VLOOKUP(RANDBETWEEN(1,4),Tabla2[],2,FALSE)</f>
        <v>2do Trimestre</v>
      </c>
      <c r="E30" t="str">
        <f ca="1">VLOOKUP(RANDBETWEEN(1,8),Tabla3[],2,FALSE)</f>
        <v>Monitores</v>
      </c>
      <c r="F30" s="15">
        <f ca="1">VLOOKUP(RANDBETWEEN(1,12),Tabla4[],2,FALSE)</f>
        <v>66150</v>
      </c>
      <c r="G30" s="15">
        <f ca="1">Tabladatos[[#This Row],[Ingresos]]*VLOOKUP(RANDBETWEEN(1,10),Tabla5[],2,FALSE)</f>
        <v>52920</v>
      </c>
      <c r="H30" s="15">
        <f ca="1">Tabladatos[[#This Row],[Ingresos]]-Tabladatos[[#This Row],[Costos]]</f>
        <v>13230</v>
      </c>
    </row>
    <row r="31" spans="1:8" ht="22.5" customHeight="1" x14ac:dyDescent="0.25">
      <c r="A31" t="s">
        <v>6</v>
      </c>
      <c r="B31" t="str">
        <f ca="1">VLOOKUP(RANDBETWEEN(1,3),Tabla1[],2,FALSE)</f>
        <v xml:space="preserve">Sur </v>
      </c>
      <c r="C31">
        <v>2020</v>
      </c>
      <c r="D31" t="str">
        <f ca="1">VLOOKUP(RANDBETWEEN(1,4),Tabla2[],2,FALSE)</f>
        <v>3er Trimestre</v>
      </c>
      <c r="E31" t="str">
        <f ca="1">VLOOKUP(RANDBETWEEN(1,8),Tabla3[],2,FALSE)</f>
        <v>SSD</v>
      </c>
      <c r="F31" s="15">
        <f ca="1">VLOOKUP(RANDBETWEEN(1,12),Tabla4[],2,FALSE)</f>
        <v>365285</v>
      </c>
      <c r="G31" s="15">
        <f ca="1">Tabladatos[[#This Row],[Ingresos]]*VLOOKUP(RANDBETWEEN(1,10),Tabla5[],2,FALSE)</f>
        <v>255699.49999999997</v>
      </c>
      <c r="H31" s="15">
        <f ca="1">Tabladatos[[#This Row],[Ingresos]]-Tabladatos[[#This Row],[Costos]]</f>
        <v>109585.50000000003</v>
      </c>
    </row>
    <row r="32" spans="1:8" ht="22.5" customHeight="1" x14ac:dyDescent="0.25">
      <c r="A32" t="s">
        <v>7</v>
      </c>
      <c r="B32" t="str">
        <f ca="1">VLOOKUP(RANDBETWEEN(1,3),Tabla1[],2,FALSE)</f>
        <v xml:space="preserve">Sur </v>
      </c>
      <c r="C32">
        <v>2020</v>
      </c>
      <c r="D32" t="str">
        <f ca="1">VLOOKUP(RANDBETWEEN(1,4),Tabla2[],2,FALSE)</f>
        <v>4to Trimestre</v>
      </c>
      <c r="E32" t="str">
        <f ca="1">VLOOKUP(RANDBETWEEN(1,8),Tabla3[],2,FALSE)</f>
        <v>SSD</v>
      </c>
      <c r="F32" s="15">
        <f ca="1">VLOOKUP(RANDBETWEEN(1,12),Tabla4[],2,FALSE)</f>
        <v>365285</v>
      </c>
      <c r="G32" s="15">
        <f ca="1">Tabladatos[[#This Row],[Ingresos]]*VLOOKUP(RANDBETWEEN(1,10),Tabla5[],2,FALSE)</f>
        <v>182642.5</v>
      </c>
      <c r="H32" s="15">
        <f ca="1">Tabladatos[[#This Row],[Ingresos]]-Tabladatos[[#This Row],[Costos]]</f>
        <v>182642.5</v>
      </c>
    </row>
    <row r="33" spans="1:8" ht="22.5" customHeight="1" x14ac:dyDescent="0.25">
      <c r="A33" t="s">
        <v>7</v>
      </c>
      <c r="B33" t="str">
        <f ca="1">VLOOKUP(RANDBETWEEN(1,3),Tabla1[],2,FALSE)</f>
        <v xml:space="preserve">Sur </v>
      </c>
      <c r="C33">
        <v>2020</v>
      </c>
      <c r="D33" t="str">
        <f ca="1">VLOOKUP(RANDBETWEEN(1,4),Tabla2[],2,FALSE)</f>
        <v>1er Trimestre</v>
      </c>
      <c r="E33" t="str">
        <f ca="1">VLOOKUP(RANDBETWEEN(1,8),Tabla3[],2,FALSE)</f>
        <v>Escáners</v>
      </c>
      <c r="F33" s="15">
        <f ca="1">VLOOKUP(RANDBETWEEN(1,12),Tabla4[],2,FALSE)</f>
        <v>95945</v>
      </c>
      <c r="G33" s="15">
        <f ca="1">Tabladatos[[#This Row],[Ingresos]]*VLOOKUP(RANDBETWEEN(1,10),Tabla5[],2,FALSE)</f>
        <v>9594.5</v>
      </c>
      <c r="H33" s="15">
        <f ca="1">Tabladatos[[#This Row],[Ingresos]]-Tabladatos[[#This Row],[Costos]]</f>
        <v>86350.5</v>
      </c>
    </row>
    <row r="34" spans="1:8" ht="22.5" customHeight="1" x14ac:dyDescent="0.25">
      <c r="A34" t="s">
        <v>7</v>
      </c>
      <c r="B34" t="str">
        <f ca="1">VLOOKUP(RANDBETWEEN(1,3),Tabla1[],2,FALSE)</f>
        <v>Norte</v>
      </c>
      <c r="C34">
        <v>2020</v>
      </c>
      <c r="D34" t="str">
        <f ca="1">VLOOKUP(RANDBETWEEN(1,4),Tabla2[],2,FALSE)</f>
        <v>1er Trimestre</v>
      </c>
      <c r="E34" t="str">
        <f ca="1">VLOOKUP(RANDBETWEEN(1,8),Tabla3[],2,FALSE)</f>
        <v>Laptops</v>
      </c>
      <c r="F34" s="15">
        <f ca="1">VLOOKUP(RANDBETWEEN(1,12),Tabla4[],2,FALSE)</f>
        <v>27300</v>
      </c>
      <c r="G34" s="15">
        <f ca="1">Tabladatos[[#This Row],[Ingresos]]*VLOOKUP(RANDBETWEEN(1,10),Tabla5[],2,FALSE)</f>
        <v>5460</v>
      </c>
      <c r="H34" s="15">
        <f ca="1">Tabladatos[[#This Row],[Ingresos]]-Tabladatos[[#This Row],[Costos]]</f>
        <v>21840</v>
      </c>
    </row>
    <row r="35" spans="1:8" ht="22.5" customHeight="1" x14ac:dyDescent="0.25">
      <c r="A35" t="s">
        <v>7</v>
      </c>
      <c r="B35" t="str">
        <f ca="1">VLOOKUP(RANDBETWEEN(1,3),Tabla1[],2,FALSE)</f>
        <v>Central</v>
      </c>
      <c r="C35">
        <v>2020</v>
      </c>
      <c r="D35" t="str">
        <f ca="1">VLOOKUP(RANDBETWEEN(1,4),Tabla2[],2,FALSE)</f>
        <v>2do Trimestre</v>
      </c>
      <c r="E35" t="str">
        <f ca="1">VLOOKUP(RANDBETWEEN(1,8),Tabla3[],2,FALSE)</f>
        <v>Tarjetas Wifi</v>
      </c>
      <c r="F35" s="15">
        <f ca="1">VLOOKUP(RANDBETWEEN(1,12),Tabla4[],2,FALSE)</f>
        <v>415765</v>
      </c>
      <c r="G35" s="15">
        <f ca="1">Tabladatos[[#This Row],[Ingresos]]*VLOOKUP(RANDBETWEEN(1,10),Tabla5[],2,FALSE)</f>
        <v>83153</v>
      </c>
      <c r="H35" s="15">
        <f ca="1">Tabladatos[[#This Row],[Ingresos]]-Tabladatos[[#This Row],[Costos]]</f>
        <v>332612</v>
      </c>
    </row>
    <row r="36" spans="1:8" ht="22.5" customHeight="1" x14ac:dyDescent="0.25">
      <c r="A36" t="s">
        <v>7</v>
      </c>
      <c r="B36" t="str">
        <f ca="1">VLOOKUP(RANDBETWEEN(1,3),Tabla1[],2,FALSE)</f>
        <v>Central</v>
      </c>
      <c r="C36">
        <v>2020</v>
      </c>
      <c r="D36" t="str">
        <f ca="1">VLOOKUP(RANDBETWEEN(1,4),Tabla2[],2,FALSE)</f>
        <v>2do Trimestre</v>
      </c>
      <c r="E36" t="str">
        <f ca="1">VLOOKUP(RANDBETWEEN(1,8),Tabla3[],2,FALSE)</f>
        <v>SSD</v>
      </c>
      <c r="F36" s="15">
        <f ca="1">VLOOKUP(RANDBETWEEN(1,12),Tabla4[],2,FALSE)</f>
        <v>300000</v>
      </c>
      <c r="G36" s="15">
        <f ca="1">Tabladatos[[#This Row],[Ingresos]]*VLOOKUP(RANDBETWEEN(1,10),Tabla5[],2,FALSE)</f>
        <v>210000</v>
      </c>
      <c r="H36" s="15">
        <f ca="1">Tabladatos[[#This Row],[Ingresos]]-Tabladatos[[#This Row],[Costos]]</f>
        <v>90000</v>
      </c>
    </row>
    <row r="37" spans="1:8" ht="22.5" customHeight="1" x14ac:dyDescent="0.25">
      <c r="A37" t="s">
        <v>7</v>
      </c>
      <c r="B37" t="str">
        <f ca="1">VLOOKUP(RANDBETWEEN(1,3),Tabla1[],2,FALSE)</f>
        <v xml:space="preserve">Sur </v>
      </c>
      <c r="C37">
        <v>2020</v>
      </c>
      <c r="D37" t="str">
        <f ca="1">VLOOKUP(RANDBETWEEN(1,4),Tabla2[],2,FALSE)</f>
        <v>2do Trimestre</v>
      </c>
      <c r="E37" t="str">
        <f ca="1">VLOOKUP(RANDBETWEEN(1,8),Tabla3[],2,FALSE)</f>
        <v>Escáners</v>
      </c>
      <c r="F37" s="15">
        <f ca="1">VLOOKUP(RANDBETWEEN(1,12),Tabla4[],2,FALSE)</f>
        <v>95945</v>
      </c>
      <c r="G37" s="15">
        <f ca="1">Tabladatos[[#This Row],[Ingresos]]*VLOOKUP(RANDBETWEEN(1,10),Tabla5[],2,FALSE)</f>
        <v>38378</v>
      </c>
      <c r="H37" s="15">
        <f ca="1">Tabladatos[[#This Row],[Ingresos]]-Tabladatos[[#This Row],[Costos]]</f>
        <v>57567</v>
      </c>
    </row>
    <row r="38" spans="1:8" ht="22.5" customHeight="1" x14ac:dyDescent="0.25">
      <c r="A38" t="s">
        <v>7</v>
      </c>
      <c r="B38" t="str">
        <f ca="1">VLOOKUP(RANDBETWEEN(1,3),Tabla1[],2,FALSE)</f>
        <v>Central</v>
      </c>
      <c r="C38">
        <v>2020</v>
      </c>
      <c r="D38" t="str">
        <f ca="1">VLOOKUP(RANDBETWEEN(1,4),Tabla2[],2,FALSE)</f>
        <v>4to Trimestre</v>
      </c>
      <c r="E38" t="str">
        <f ca="1">VLOOKUP(RANDBETWEEN(1,8),Tabla3[],2,FALSE)</f>
        <v>SSD</v>
      </c>
      <c r="F38" s="15">
        <f ca="1">VLOOKUP(RANDBETWEEN(1,12),Tabla4[],2,FALSE)</f>
        <v>365285</v>
      </c>
      <c r="G38" s="15">
        <f ca="1">Tabladatos[[#This Row],[Ingresos]]*VLOOKUP(RANDBETWEEN(1,10),Tabla5[],2,FALSE)</f>
        <v>255699.49999999997</v>
      </c>
      <c r="H38" s="15">
        <f ca="1">Tabladatos[[#This Row],[Ingresos]]-Tabladatos[[#This Row],[Costos]]</f>
        <v>109585.50000000003</v>
      </c>
    </row>
    <row r="39" spans="1:8" ht="22.5" customHeight="1" x14ac:dyDescent="0.25">
      <c r="A39" t="s">
        <v>7</v>
      </c>
      <c r="B39" t="str">
        <f ca="1">VLOOKUP(RANDBETWEEN(1,3),Tabla1[],2,FALSE)</f>
        <v>Norte</v>
      </c>
      <c r="C39">
        <v>2020</v>
      </c>
      <c r="D39" t="str">
        <f ca="1">VLOOKUP(RANDBETWEEN(1,4),Tabla2[],2,FALSE)</f>
        <v>1er Trimestre</v>
      </c>
      <c r="E39" t="str">
        <f ca="1">VLOOKUP(RANDBETWEEN(1,8),Tabla3[],2,FALSE)</f>
        <v>Impresoras</v>
      </c>
      <c r="F39" s="15">
        <f ca="1">VLOOKUP(RANDBETWEEN(1,12),Tabla4[],2,FALSE)</f>
        <v>120460</v>
      </c>
      <c r="G39" s="15">
        <f ca="1">Tabladatos[[#This Row],[Ingresos]]*VLOOKUP(RANDBETWEEN(1,10),Tabla5[],2,FALSE)</f>
        <v>24092</v>
      </c>
      <c r="H39" s="15">
        <f ca="1">Tabladatos[[#This Row],[Ingresos]]-Tabladatos[[#This Row],[Costos]]</f>
        <v>96368</v>
      </c>
    </row>
    <row r="40" spans="1:8" ht="22.5" customHeight="1" x14ac:dyDescent="0.25">
      <c r="A40" t="s">
        <v>7</v>
      </c>
      <c r="B40" t="str">
        <f ca="1">VLOOKUP(RANDBETWEEN(1,3),Tabla1[],2,FALSE)</f>
        <v>Norte</v>
      </c>
      <c r="C40">
        <v>2020</v>
      </c>
      <c r="D40" t="str">
        <f ca="1">VLOOKUP(RANDBETWEEN(1,4),Tabla2[],2,FALSE)</f>
        <v>3er Trimestre</v>
      </c>
      <c r="E40" t="str">
        <f ca="1">VLOOKUP(RANDBETWEEN(1,8),Tabla3[],2,FALSE)</f>
        <v>Memorias USB</v>
      </c>
      <c r="F40" s="15">
        <f ca="1">VLOOKUP(RANDBETWEEN(1,12),Tabla4[],2,FALSE)</f>
        <v>95945</v>
      </c>
      <c r="G40" s="15">
        <f ca="1">Tabladatos[[#This Row],[Ingresos]]*VLOOKUP(RANDBETWEEN(1,10),Tabla5[],2,FALSE)</f>
        <v>38378</v>
      </c>
      <c r="H40" s="15">
        <f ca="1">Tabladatos[[#This Row],[Ingresos]]-Tabladatos[[#This Row],[Costos]]</f>
        <v>57567</v>
      </c>
    </row>
    <row r="41" spans="1:8" ht="22.5" customHeight="1" x14ac:dyDescent="0.25">
      <c r="A41" t="s">
        <v>7</v>
      </c>
      <c r="B41" t="str">
        <f ca="1">VLOOKUP(RANDBETWEEN(1,3),Tabla1[],2,FALSE)</f>
        <v xml:space="preserve">Sur </v>
      </c>
      <c r="C41">
        <v>2020</v>
      </c>
      <c r="D41" t="str">
        <f ca="1">VLOOKUP(RANDBETWEEN(1,4),Tabla2[],2,FALSE)</f>
        <v>3er Trimestre</v>
      </c>
      <c r="E41" t="str">
        <f ca="1">VLOOKUP(RANDBETWEEN(1,8),Tabla3[],2,FALSE)</f>
        <v>Impresoras</v>
      </c>
      <c r="F41" s="15">
        <f ca="1">VLOOKUP(RANDBETWEEN(1,12),Tabla4[],2,FALSE)</f>
        <v>535990</v>
      </c>
      <c r="G41" s="15">
        <f ca="1">Tabladatos[[#This Row],[Ingresos]]*VLOOKUP(RANDBETWEEN(1,10),Tabla5[],2,FALSE)</f>
        <v>321594</v>
      </c>
      <c r="H41" s="15">
        <f ca="1">Tabladatos[[#This Row],[Ingresos]]-Tabladatos[[#This Row],[Costos]]</f>
        <v>214396</v>
      </c>
    </row>
    <row r="42" spans="1:8" ht="22.5" customHeight="1" x14ac:dyDescent="0.25">
      <c r="A42" t="s">
        <v>7</v>
      </c>
      <c r="B42" t="str">
        <f ca="1">VLOOKUP(RANDBETWEEN(1,3),Tabla1[],2,FALSE)</f>
        <v>Central</v>
      </c>
      <c r="C42">
        <v>2020</v>
      </c>
      <c r="D42" t="str">
        <f ca="1">VLOOKUP(RANDBETWEEN(1,4),Tabla2[],2,FALSE)</f>
        <v>4to Trimestre</v>
      </c>
      <c r="E42" t="str">
        <f ca="1">VLOOKUP(RANDBETWEEN(1,8),Tabla3[],2,FALSE)</f>
        <v>Impresoras</v>
      </c>
      <c r="F42" s="15">
        <f ca="1">VLOOKUP(RANDBETWEEN(1,12),Tabla4[],2,FALSE)</f>
        <v>27300</v>
      </c>
      <c r="G42" s="15">
        <f ca="1">Tabladatos[[#This Row],[Ingresos]]*VLOOKUP(RANDBETWEEN(1,10),Tabla5[],2,FALSE)</f>
        <v>6825</v>
      </c>
      <c r="H42" s="15">
        <f ca="1">Tabladatos[[#This Row],[Ingresos]]-Tabladatos[[#This Row],[Costos]]</f>
        <v>20475</v>
      </c>
    </row>
    <row r="43" spans="1:8" ht="22.5" customHeight="1" x14ac:dyDescent="0.25">
      <c r="A43" t="s">
        <v>7</v>
      </c>
      <c r="B43" t="str">
        <f ca="1">VLOOKUP(RANDBETWEEN(1,3),Tabla1[],2,FALSE)</f>
        <v>Norte</v>
      </c>
      <c r="C43">
        <v>2020</v>
      </c>
      <c r="D43" t="str">
        <f ca="1">VLOOKUP(RANDBETWEEN(1,4),Tabla2[],2,FALSE)</f>
        <v>2do Trimestre</v>
      </c>
      <c r="E43" t="str">
        <f ca="1">VLOOKUP(RANDBETWEEN(1,8),Tabla3[],2,FALSE)</f>
        <v>Laptops</v>
      </c>
      <c r="F43" s="15">
        <f ca="1">VLOOKUP(RANDBETWEEN(1,12),Tabla4[],2,FALSE)</f>
        <v>300000</v>
      </c>
      <c r="G43" s="15">
        <f ca="1">Tabladatos[[#This Row],[Ingresos]]*VLOOKUP(RANDBETWEEN(1,10),Tabla5[],2,FALSE)</f>
        <v>120000</v>
      </c>
      <c r="H43" s="15">
        <f ca="1">Tabladatos[[#This Row],[Ingresos]]-Tabladatos[[#This Row],[Costos]]</f>
        <v>180000</v>
      </c>
    </row>
    <row r="44" spans="1:8" ht="22.5" customHeight="1" x14ac:dyDescent="0.25">
      <c r="A44" t="s">
        <v>7</v>
      </c>
      <c r="B44" t="str">
        <f ca="1">VLOOKUP(RANDBETWEEN(1,3),Tabla1[],2,FALSE)</f>
        <v>Central</v>
      </c>
      <c r="C44">
        <v>2020</v>
      </c>
      <c r="D44" t="str">
        <f ca="1">VLOOKUP(RANDBETWEEN(1,4),Tabla2[],2,FALSE)</f>
        <v>1er Trimestre</v>
      </c>
      <c r="E44" t="str">
        <f ca="1">VLOOKUP(RANDBETWEEN(1,8),Tabla3[],2,FALSE)</f>
        <v>Tarjetas Wifi</v>
      </c>
      <c r="F44" s="15">
        <f ca="1">VLOOKUP(RANDBETWEEN(1,12),Tabla4[],2,FALSE)</f>
        <v>490000</v>
      </c>
      <c r="G44" s="15">
        <f ca="1">Tabladatos[[#This Row],[Ingresos]]*VLOOKUP(RANDBETWEEN(1,10),Tabla5[],2,FALSE)</f>
        <v>294000</v>
      </c>
      <c r="H44" s="15">
        <f ca="1">Tabladatos[[#This Row],[Ingresos]]-Tabladatos[[#This Row],[Costos]]</f>
        <v>196000</v>
      </c>
    </row>
    <row r="45" spans="1:8" ht="22.5" customHeight="1" x14ac:dyDescent="0.25">
      <c r="A45" t="s">
        <v>7</v>
      </c>
      <c r="B45" t="str">
        <f ca="1">VLOOKUP(RANDBETWEEN(1,3),Tabla1[],2,FALSE)</f>
        <v>Norte</v>
      </c>
      <c r="C45">
        <v>2020</v>
      </c>
      <c r="D45" t="str">
        <f ca="1">VLOOKUP(RANDBETWEEN(1,4),Tabla2[],2,FALSE)</f>
        <v>2do Trimestre</v>
      </c>
      <c r="E45" t="str">
        <f ca="1">VLOOKUP(RANDBETWEEN(1,8),Tabla3[],2,FALSE)</f>
        <v>Escáners</v>
      </c>
      <c r="F45" s="15">
        <f ca="1">VLOOKUP(RANDBETWEEN(1,12),Tabla4[],2,FALSE)</f>
        <v>95945</v>
      </c>
      <c r="G45" s="15">
        <f ca="1">Tabladatos[[#This Row],[Ingresos]]*VLOOKUP(RANDBETWEEN(1,10),Tabla5[],2,FALSE)</f>
        <v>76756</v>
      </c>
      <c r="H45" s="15">
        <f ca="1">Tabladatos[[#This Row],[Ingresos]]-Tabladatos[[#This Row],[Costos]]</f>
        <v>19189</v>
      </c>
    </row>
    <row r="46" spans="1:8" ht="22.5" customHeight="1" x14ac:dyDescent="0.25">
      <c r="A46" t="s">
        <v>7</v>
      </c>
      <c r="B46" t="str">
        <f ca="1">VLOOKUP(RANDBETWEEN(1,3),Tabla1[],2,FALSE)</f>
        <v>Norte</v>
      </c>
      <c r="C46">
        <v>2020</v>
      </c>
      <c r="D46" t="str">
        <f ca="1">VLOOKUP(RANDBETWEEN(1,4),Tabla2[],2,FALSE)</f>
        <v>2do Trimestre</v>
      </c>
      <c r="E46" t="str">
        <f ca="1">VLOOKUP(RANDBETWEEN(1,8),Tabla3[],2,FALSE)</f>
        <v>Monitores</v>
      </c>
      <c r="F46" s="15">
        <f ca="1">VLOOKUP(RANDBETWEEN(1,12),Tabla4[],2,FALSE)</f>
        <v>599800</v>
      </c>
      <c r="G46" s="15">
        <f ca="1">Tabladatos[[#This Row],[Ingresos]]*VLOOKUP(RANDBETWEEN(1,10),Tabla5[],2,FALSE)</f>
        <v>359880</v>
      </c>
      <c r="H46" s="15">
        <f ca="1">Tabladatos[[#This Row],[Ingresos]]-Tabladatos[[#This Row],[Costos]]</f>
        <v>239920</v>
      </c>
    </row>
    <row r="47" spans="1:8" ht="22.5" customHeight="1" x14ac:dyDescent="0.25">
      <c r="A47" t="s">
        <v>7</v>
      </c>
      <c r="B47" t="str">
        <f ca="1">VLOOKUP(RANDBETWEEN(1,3),Tabla1[],2,FALSE)</f>
        <v>Central</v>
      </c>
      <c r="C47">
        <v>2020</v>
      </c>
      <c r="D47" t="str">
        <f ca="1">VLOOKUP(RANDBETWEEN(1,4),Tabla2[],2,FALSE)</f>
        <v>1er Trimestre</v>
      </c>
      <c r="E47" t="str">
        <f ca="1">VLOOKUP(RANDBETWEEN(1,8),Tabla3[],2,FALSE)</f>
        <v>Computadoras</v>
      </c>
      <c r="F47" s="15">
        <f ca="1">VLOOKUP(RANDBETWEEN(1,12),Tabla4[],2,FALSE)</f>
        <v>170000</v>
      </c>
      <c r="G47" s="15">
        <f ca="1">Tabladatos[[#This Row],[Ingresos]]*VLOOKUP(RANDBETWEEN(1,10),Tabla5[],2,FALSE)</f>
        <v>85000</v>
      </c>
      <c r="H47" s="15">
        <f ca="1">Tabladatos[[#This Row],[Ingresos]]-Tabladatos[[#This Row],[Costos]]</f>
        <v>85000</v>
      </c>
    </row>
    <row r="48" spans="1:8" ht="22.5" customHeight="1" x14ac:dyDescent="0.25">
      <c r="A48" t="s">
        <v>7</v>
      </c>
      <c r="B48" t="str">
        <f ca="1">VLOOKUP(RANDBETWEEN(1,3),Tabla1[],2,FALSE)</f>
        <v>Central</v>
      </c>
      <c r="C48">
        <v>2020</v>
      </c>
      <c r="D48" t="str">
        <f ca="1">VLOOKUP(RANDBETWEEN(1,4),Tabla2[],2,FALSE)</f>
        <v>4to Trimestre</v>
      </c>
      <c r="E48" t="str">
        <f ca="1">VLOOKUP(RANDBETWEEN(1,8),Tabla3[],2,FALSE)</f>
        <v>Memorias USB</v>
      </c>
      <c r="F48" s="15">
        <f ca="1">VLOOKUP(RANDBETWEEN(1,12),Tabla4[],2,FALSE)</f>
        <v>95945</v>
      </c>
      <c r="G48" s="15">
        <f ca="1">Tabladatos[[#This Row],[Ingresos]]*VLOOKUP(RANDBETWEEN(1,10),Tabla5[],2,FALSE)</f>
        <v>47972.5</v>
      </c>
      <c r="H48" s="15">
        <f ca="1">Tabladatos[[#This Row],[Ingresos]]-Tabladatos[[#This Row],[Costos]]</f>
        <v>47972.5</v>
      </c>
    </row>
    <row r="49" spans="1:8" ht="22.5" customHeight="1" x14ac:dyDescent="0.25">
      <c r="A49" t="s">
        <v>7</v>
      </c>
      <c r="B49" t="str">
        <f ca="1">VLOOKUP(RANDBETWEEN(1,3),Tabla1[],2,FALSE)</f>
        <v xml:space="preserve">Sur </v>
      </c>
      <c r="C49">
        <v>2020</v>
      </c>
      <c r="D49" t="str">
        <f ca="1">VLOOKUP(RANDBETWEEN(1,4),Tabla2[],2,FALSE)</f>
        <v>3er Trimestre</v>
      </c>
      <c r="E49" t="str">
        <f ca="1">VLOOKUP(RANDBETWEEN(1,8),Tabla3[],2,FALSE)</f>
        <v>SSD</v>
      </c>
      <c r="F49" s="15">
        <f ca="1">VLOOKUP(RANDBETWEEN(1,12),Tabla4[],2,FALSE)</f>
        <v>599800</v>
      </c>
      <c r="G49" s="15">
        <f ca="1">Tabladatos[[#This Row],[Ingresos]]*VLOOKUP(RANDBETWEEN(1,10),Tabla5[],2,FALSE)</f>
        <v>149950</v>
      </c>
      <c r="H49" s="15">
        <f ca="1">Tabladatos[[#This Row],[Ingresos]]-Tabladatos[[#This Row],[Costos]]</f>
        <v>449850</v>
      </c>
    </row>
    <row r="50" spans="1:8" ht="22.5" customHeight="1" x14ac:dyDescent="0.25">
      <c r="A50" t="s">
        <v>7</v>
      </c>
      <c r="B50" t="str">
        <f ca="1">VLOOKUP(RANDBETWEEN(1,3),Tabla1[],2,FALSE)</f>
        <v>Central</v>
      </c>
      <c r="C50">
        <v>2020</v>
      </c>
      <c r="D50" t="str">
        <f ca="1">VLOOKUP(RANDBETWEEN(1,4),Tabla2[],2,FALSE)</f>
        <v>3er Trimestre</v>
      </c>
      <c r="E50" t="str">
        <f ca="1">VLOOKUP(RANDBETWEEN(1,8),Tabla3[],2,FALSE)</f>
        <v>SSD</v>
      </c>
      <c r="F50" s="15">
        <f ca="1">VLOOKUP(RANDBETWEEN(1,12),Tabla4[],2,FALSE)</f>
        <v>228990</v>
      </c>
      <c r="G50" s="15">
        <f ca="1">Tabladatos[[#This Row],[Ingresos]]*VLOOKUP(RANDBETWEEN(1,10),Tabla5[],2,FALSE)</f>
        <v>160293</v>
      </c>
      <c r="H50" s="15">
        <f ca="1">Tabladatos[[#This Row],[Ingresos]]-Tabladatos[[#This Row],[Costos]]</f>
        <v>68697</v>
      </c>
    </row>
    <row r="51" spans="1:8" ht="22.5" customHeight="1" x14ac:dyDescent="0.25">
      <c r="A51" t="s">
        <v>7</v>
      </c>
      <c r="B51" t="str">
        <f ca="1">VLOOKUP(RANDBETWEEN(1,3),Tabla1[],2,FALSE)</f>
        <v>Norte</v>
      </c>
      <c r="C51">
        <v>2020</v>
      </c>
      <c r="D51" t="str">
        <f ca="1">VLOOKUP(RANDBETWEEN(1,4),Tabla2[],2,FALSE)</f>
        <v>1er Trimestre</v>
      </c>
      <c r="E51" t="str">
        <f ca="1">VLOOKUP(RANDBETWEEN(1,8),Tabla3[],2,FALSE)</f>
        <v>SSD</v>
      </c>
      <c r="F51" s="15">
        <f ca="1">VLOOKUP(RANDBETWEEN(1,12),Tabla4[],2,FALSE)</f>
        <v>415765</v>
      </c>
      <c r="G51" s="15">
        <f ca="1">Tabladatos[[#This Row],[Ingresos]]*VLOOKUP(RANDBETWEEN(1,10),Tabla5[],2,FALSE)</f>
        <v>207882.5</v>
      </c>
      <c r="H51" s="15">
        <f ca="1">Tabladatos[[#This Row],[Ingresos]]-Tabladatos[[#This Row],[Costos]]</f>
        <v>207882.5</v>
      </c>
    </row>
    <row r="52" spans="1:8" ht="22.5" customHeight="1" x14ac:dyDescent="0.25">
      <c r="A52" t="s">
        <v>7</v>
      </c>
      <c r="B52" t="str">
        <f ca="1">VLOOKUP(RANDBETWEEN(1,3),Tabla1[],2,FALSE)</f>
        <v>Central</v>
      </c>
      <c r="C52">
        <v>2020</v>
      </c>
      <c r="D52" t="str">
        <f ca="1">VLOOKUP(RANDBETWEEN(1,4),Tabla2[],2,FALSE)</f>
        <v>3er Trimestre</v>
      </c>
      <c r="E52" t="str">
        <f ca="1">VLOOKUP(RANDBETWEEN(1,8),Tabla3[],2,FALSE)</f>
        <v>Monitores</v>
      </c>
      <c r="F52" s="15">
        <f ca="1">VLOOKUP(RANDBETWEEN(1,12),Tabla4[],2,FALSE)</f>
        <v>415765</v>
      </c>
      <c r="G52" s="15">
        <f ca="1">Tabladatos[[#This Row],[Ingresos]]*VLOOKUP(RANDBETWEEN(1,10),Tabla5[],2,FALSE)</f>
        <v>207882.5</v>
      </c>
      <c r="H52" s="15">
        <f ca="1">Tabladatos[[#This Row],[Ingresos]]-Tabladatos[[#This Row],[Costos]]</f>
        <v>207882.5</v>
      </c>
    </row>
    <row r="53" spans="1:8" ht="22.5" customHeight="1" x14ac:dyDescent="0.25">
      <c r="A53" t="s">
        <v>7</v>
      </c>
      <c r="B53" t="str">
        <f ca="1">VLOOKUP(RANDBETWEEN(1,3),Tabla1[],2,FALSE)</f>
        <v>Central</v>
      </c>
      <c r="C53">
        <v>2020</v>
      </c>
      <c r="D53" t="str">
        <f ca="1">VLOOKUP(RANDBETWEEN(1,4),Tabla2[],2,FALSE)</f>
        <v>2do Trimestre</v>
      </c>
      <c r="E53" t="str">
        <f ca="1">VLOOKUP(RANDBETWEEN(1,8),Tabla3[],2,FALSE)</f>
        <v>Computadoras</v>
      </c>
      <c r="F53" s="15">
        <f ca="1">VLOOKUP(RANDBETWEEN(1,12),Tabla4[],2,FALSE)</f>
        <v>599800</v>
      </c>
      <c r="G53" s="15">
        <f ca="1">Tabladatos[[#This Row],[Ingresos]]*VLOOKUP(RANDBETWEEN(1,10),Tabla5[],2,FALSE)</f>
        <v>89970</v>
      </c>
      <c r="H53" s="15">
        <f ca="1">Tabladatos[[#This Row],[Ingresos]]-Tabladatos[[#This Row],[Costos]]</f>
        <v>509830</v>
      </c>
    </row>
    <row r="54" spans="1:8" ht="22.5" customHeight="1" x14ac:dyDescent="0.25">
      <c r="A54" t="s">
        <v>25</v>
      </c>
      <c r="B54" t="str">
        <f ca="1">VLOOKUP(RANDBETWEEN(1,3),Tabla1[],2,FALSE)</f>
        <v>Norte</v>
      </c>
      <c r="C54">
        <v>2020</v>
      </c>
      <c r="D54" t="str">
        <f ca="1">VLOOKUP(RANDBETWEEN(1,4),Tabla2[],2,FALSE)</f>
        <v>3er Trimestre</v>
      </c>
      <c r="E54" t="str">
        <f ca="1">VLOOKUP(RANDBETWEEN(1,8),Tabla3[],2,FALSE)</f>
        <v>Computadoras</v>
      </c>
      <c r="F54" s="15">
        <f ca="1">VLOOKUP(RANDBETWEEN(1,12),Tabla4[],2,FALSE)</f>
        <v>490000</v>
      </c>
      <c r="G54" s="15">
        <f ca="1">Tabladatos[[#This Row],[Ingresos]]*VLOOKUP(RANDBETWEEN(1,10),Tabla5[],2,FALSE)</f>
        <v>343000</v>
      </c>
      <c r="H54" s="15">
        <f ca="1">Tabladatos[[#This Row],[Ingresos]]-Tabladatos[[#This Row],[Costos]]</f>
        <v>147000</v>
      </c>
    </row>
    <row r="55" spans="1:8" ht="22.5" customHeight="1" x14ac:dyDescent="0.25">
      <c r="A55" t="s">
        <v>25</v>
      </c>
      <c r="B55" t="str">
        <f ca="1">VLOOKUP(RANDBETWEEN(1,3),Tabla1[],2,FALSE)</f>
        <v>Central</v>
      </c>
      <c r="C55">
        <v>2020</v>
      </c>
      <c r="D55" t="str">
        <f ca="1">VLOOKUP(RANDBETWEEN(1,4),Tabla2[],2,FALSE)</f>
        <v>4to Trimestre</v>
      </c>
      <c r="E55" t="str">
        <f ca="1">VLOOKUP(RANDBETWEEN(1,8),Tabla3[],2,FALSE)</f>
        <v>Computadoras</v>
      </c>
      <c r="F55" s="15">
        <f ca="1">VLOOKUP(RANDBETWEEN(1,12),Tabla4[],2,FALSE)</f>
        <v>490000</v>
      </c>
      <c r="G55" s="15">
        <f ca="1">Tabladatos[[#This Row],[Ingresos]]*VLOOKUP(RANDBETWEEN(1,10),Tabla5[],2,FALSE)</f>
        <v>294000</v>
      </c>
      <c r="H55" s="15">
        <f ca="1">Tabladatos[[#This Row],[Ingresos]]-Tabladatos[[#This Row],[Costos]]</f>
        <v>196000</v>
      </c>
    </row>
    <row r="56" spans="1:8" ht="22.5" customHeight="1" x14ac:dyDescent="0.25">
      <c r="A56" t="s">
        <v>25</v>
      </c>
      <c r="B56" t="str">
        <f ca="1">VLOOKUP(RANDBETWEEN(1,3),Tabla1[],2,FALSE)</f>
        <v>Central</v>
      </c>
      <c r="C56">
        <v>2020</v>
      </c>
      <c r="D56" t="str">
        <f ca="1">VLOOKUP(RANDBETWEEN(1,4),Tabla2[],2,FALSE)</f>
        <v>1er Trimestre</v>
      </c>
      <c r="E56" t="str">
        <f ca="1">VLOOKUP(RANDBETWEEN(1,8),Tabla3[],2,FALSE)</f>
        <v>Computadoras</v>
      </c>
      <c r="F56" s="15">
        <f ca="1">VLOOKUP(RANDBETWEEN(1,12),Tabla4[],2,FALSE)</f>
        <v>535990</v>
      </c>
      <c r="G56" s="15">
        <f ca="1">Tabladatos[[#This Row],[Ingresos]]*VLOOKUP(RANDBETWEEN(1,10),Tabla5[],2,FALSE)</f>
        <v>267995</v>
      </c>
      <c r="H56" s="15">
        <f ca="1">Tabladatos[[#This Row],[Ingresos]]-Tabladatos[[#This Row],[Costos]]</f>
        <v>267995</v>
      </c>
    </row>
    <row r="57" spans="1:8" ht="22.5" customHeight="1" x14ac:dyDescent="0.25">
      <c r="A57" t="s">
        <v>25</v>
      </c>
      <c r="B57" t="str">
        <f ca="1">VLOOKUP(RANDBETWEEN(1,3),Tabla1[],2,FALSE)</f>
        <v xml:space="preserve">Sur </v>
      </c>
      <c r="C57">
        <v>2020</v>
      </c>
      <c r="D57" t="str">
        <f ca="1">VLOOKUP(RANDBETWEEN(1,4),Tabla2[],2,FALSE)</f>
        <v>3er Trimestre</v>
      </c>
      <c r="E57" t="str">
        <f ca="1">VLOOKUP(RANDBETWEEN(1,8),Tabla3[],2,FALSE)</f>
        <v>Memorias USB</v>
      </c>
      <c r="F57" s="15">
        <f ca="1">VLOOKUP(RANDBETWEEN(1,12),Tabla4[],2,FALSE)</f>
        <v>599800</v>
      </c>
      <c r="G57" s="15">
        <f ca="1">Tabladatos[[#This Row],[Ingresos]]*VLOOKUP(RANDBETWEEN(1,10),Tabla5[],2,FALSE)</f>
        <v>479840</v>
      </c>
      <c r="H57" s="15">
        <f ca="1">Tabladatos[[#This Row],[Ingresos]]-Tabladatos[[#This Row],[Costos]]</f>
        <v>119960</v>
      </c>
    </row>
    <row r="58" spans="1:8" ht="22.5" customHeight="1" x14ac:dyDescent="0.25">
      <c r="A58" t="s">
        <v>25</v>
      </c>
      <c r="B58" t="str">
        <f ca="1">VLOOKUP(RANDBETWEEN(1,3),Tabla1[],2,FALSE)</f>
        <v xml:space="preserve">Sur </v>
      </c>
      <c r="C58">
        <v>2020</v>
      </c>
      <c r="D58" t="str">
        <f ca="1">VLOOKUP(RANDBETWEEN(1,4),Tabla2[],2,FALSE)</f>
        <v>3er Trimestre</v>
      </c>
      <c r="E58" t="str">
        <f ca="1">VLOOKUP(RANDBETWEEN(1,8),Tabla3[],2,FALSE)</f>
        <v>Computadoras</v>
      </c>
      <c r="F58" s="15">
        <f ca="1">VLOOKUP(RANDBETWEEN(1,12),Tabla4[],2,FALSE)</f>
        <v>27300</v>
      </c>
      <c r="G58" s="15">
        <f ca="1">Tabladatos[[#This Row],[Ingresos]]*VLOOKUP(RANDBETWEEN(1,10),Tabla5[],2,FALSE)</f>
        <v>6825</v>
      </c>
      <c r="H58" s="15">
        <f ca="1">Tabladatos[[#This Row],[Ingresos]]-Tabladatos[[#This Row],[Costos]]</f>
        <v>20475</v>
      </c>
    </row>
    <row r="59" spans="1:8" ht="22.5" customHeight="1" x14ac:dyDescent="0.25">
      <c r="A59" t="s">
        <v>25</v>
      </c>
      <c r="B59" t="str">
        <f ca="1">VLOOKUP(RANDBETWEEN(1,3),Tabla1[],2,FALSE)</f>
        <v>Norte</v>
      </c>
      <c r="C59">
        <v>2020</v>
      </c>
      <c r="D59" t="str">
        <f ca="1">VLOOKUP(RANDBETWEEN(1,4),Tabla2[],2,FALSE)</f>
        <v>3er Trimestre</v>
      </c>
      <c r="E59" t="str">
        <f ca="1">VLOOKUP(RANDBETWEEN(1,8),Tabla3[],2,FALSE)</f>
        <v>Laptops</v>
      </c>
      <c r="F59" s="15">
        <f ca="1">VLOOKUP(RANDBETWEEN(1,12),Tabla4[],2,FALSE)</f>
        <v>365285</v>
      </c>
      <c r="G59" s="15">
        <f ca="1">Tabladatos[[#This Row],[Ingresos]]*VLOOKUP(RANDBETWEEN(1,10),Tabla5[],2,FALSE)</f>
        <v>73057</v>
      </c>
      <c r="H59" s="15">
        <f ca="1">Tabladatos[[#This Row],[Ingresos]]-Tabladatos[[#This Row],[Costos]]</f>
        <v>292228</v>
      </c>
    </row>
    <row r="60" spans="1:8" ht="22.5" customHeight="1" x14ac:dyDescent="0.25">
      <c r="A60" t="s">
        <v>25</v>
      </c>
      <c r="B60" t="str">
        <f ca="1">VLOOKUP(RANDBETWEEN(1,3),Tabla1[],2,FALSE)</f>
        <v>Norte</v>
      </c>
      <c r="C60">
        <v>2020</v>
      </c>
      <c r="D60" t="str">
        <f ca="1">VLOOKUP(RANDBETWEEN(1,4),Tabla2[],2,FALSE)</f>
        <v>2do Trimestre</v>
      </c>
      <c r="E60" t="str">
        <f ca="1">VLOOKUP(RANDBETWEEN(1,8),Tabla3[],2,FALSE)</f>
        <v>Computadoras</v>
      </c>
      <c r="F60" s="15">
        <f ca="1">VLOOKUP(RANDBETWEEN(1,12),Tabla4[],2,FALSE)</f>
        <v>228990</v>
      </c>
      <c r="G60" s="15">
        <f ca="1">Tabladatos[[#This Row],[Ingresos]]*VLOOKUP(RANDBETWEEN(1,10),Tabla5[],2,FALSE)</f>
        <v>45798</v>
      </c>
      <c r="H60" s="15">
        <f ca="1">Tabladatos[[#This Row],[Ingresos]]-Tabladatos[[#This Row],[Costos]]</f>
        <v>183192</v>
      </c>
    </row>
    <row r="61" spans="1:8" ht="22.5" customHeight="1" x14ac:dyDescent="0.25">
      <c r="A61" t="s">
        <v>25</v>
      </c>
      <c r="B61" t="str">
        <f ca="1">VLOOKUP(RANDBETWEEN(1,3),Tabla1[],2,FALSE)</f>
        <v>Central</v>
      </c>
      <c r="C61">
        <v>2020</v>
      </c>
      <c r="D61" t="str">
        <f ca="1">VLOOKUP(RANDBETWEEN(1,4),Tabla2[],2,FALSE)</f>
        <v>4to Trimestre</v>
      </c>
      <c r="E61" t="str">
        <f ca="1">VLOOKUP(RANDBETWEEN(1,8),Tabla3[],2,FALSE)</f>
        <v>Laptops</v>
      </c>
      <c r="F61" s="15">
        <f ca="1">VLOOKUP(RANDBETWEEN(1,12),Tabla4[],2,FALSE)</f>
        <v>228990</v>
      </c>
      <c r="G61" s="15">
        <f ca="1">Tabladatos[[#This Row],[Ingresos]]*VLOOKUP(RANDBETWEEN(1,10),Tabla5[],2,FALSE)</f>
        <v>57247.5</v>
      </c>
      <c r="H61" s="15">
        <f ca="1">Tabladatos[[#This Row],[Ingresos]]-Tabladatos[[#This Row],[Costos]]</f>
        <v>171742.5</v>
      </c>
    </row>
    <row r="62" spans="1:8" ht="22.5" customHeight="1" x14ac:dyDescent="0.25">
      <c r="A62" t="s">
        <v>25</v>
      </c>
      <c r="B62" t="str">
        <f ca="1">VLOOKUP(RANDBETWEEN(1,3),Tabla1[],2,FALSE)</f>
        <v>Central</v>
      </c>
      <c r="C62">
        <v>2020</v>
      </c>
      <c r="D62" t="str">
        <f ca="1">VLOOKUP(RANDBETWEEN(1,4),Tabla2[],2,FALSE)</f>
        <v>3er Trimestre</v>
      </c>
      <c r="E62" t="str">
        <f ca="1">VLOOKUP(RANDBETWEEN(1,8),Tabla3[],2,FALSE)</f>
        <v>SSD</v>
      </c>
      <c r="F62" s="15">
        <f ca="1">VLOOKUP(RANDBETWEEN(1,12),Tabla4[],2,FALSE)</f>
        <v>120460</v>
      </c>
      <c r="G62" s="15">
        <f ca="1">Tabladatos[[#This Row],[Ingresos]]*VLOOKUP(RANDBETWEEN(1,10),Tabla5[],2,FALSE)</f>
        <v>48184</v>
      </c>
      <c r="H62" s="15">
        <f ca="1">Tabladatos[[#This Row],[Ingresos]]-Tabladatos[[#This Row],[Costos]]</f>
        <v>72276</v>
      </c>
    </row>
    <row r="63" spans="1:8" ht="22.5" customHeight="1" x14ac:dyDescent="0.25">
      <c r="A63" t="s">
        <v>25</v>
      </c>
      <c r="B63" t="str">
        <f ca="1">VLOOKUP(RANDBETWEEN(1,3),Tabla1[],2,FALSE)</f>
        <v xml:space="preserve">Sur </v>
      </c>
      <c r="C63">
        <v>2020</v>
      </c>
      <c r="D63" t="str">
        <f ca="1">VLOOKUP(RANDBETWEEN(1,4),Tabla2[],2,FALSE)</f>
        <v>2do Trimestre</v>
      </c>
      <c r="E63" t="str">
        <f ca="1">VLOOKUP(RANDBETWEEN(1,8),Tabla3[],2,FALSE)</f>
        <v>Memorias USB</v>
      </c>
      <c r="F63" s="15">
        <f ca="1">VLOOKUP(RANDBETWEEN(1,12),Tabla4[],2,FALSE)</f>
        <v>415765</v>
      </c>
      <c r="G63" s="15">
        <f ca="1">Tabladatos[[#This Row],[Ingresos]]*VLOOKUP(RANDBETWEEN(1,10),Tabla5[],2,FALSE)</f>
        <v>41576.5</v>
      </c>
      <c r="H63" s="15">
        <f ca="1">Tabladatos[[#This Row],[Ingresos]]-Tabladatos[[#This Row],[Costos]]</f>
        <v>374188.5</v>
      </c>
    </row>
    <row r="64" spans="1:8" ht="22.5" customHeight="1" x14ac:dyDescent="0.25">
      <c r="A64" t="s">
        <v>25</v>
      </c>
      <c r="B64" t="str">
        <f ca="1">VLOOKUP(RANDBETWEEN(1,3),Tabla1[],2,FALSE)</f>
        <v>Norte</v>
      </c>
      <c r="C64">
        <v>2020</v>
      </c>
      <c r="D64" t="str">
        <f ca="1">VLOOKUP(RANDBETWEEN(1,4),Tabla2[],2,FALSE)</f>
        <v>1er Trimestre</v>
      </c>
      <c r="E64" t="str">
        <f ca="1">VLOOKUP(RANDBETWEEN(1,8),Tabla3[],2,FALSE)</f>
        <v>Laptops</v>
      </c>
      <c r="F64" s="15">
        <f ca="1">VLOOKUP(RANDBETWEEN(1,12),Tabla4[],2,FALSE)</f>
        <v>27300</v>
      </c>
      <c r="G64" s="15">
        <f ca="1">Tabladatos[[#This Row],[Ingresos]]*VLOOKUP(RANDBETWEEN(1,10),Tabla5[],2,FALSE)</f>
        <v>5460</v>
      </c>
      <c r="H64" s="15">
        <f ca="1">Tabladatos[[#This Row],[Ingresos]]-Tabladatos[[#This Row],[Costos]]</f>
        <v>21840</v>
      </c>
    </row>
    <row r="65" spans="1:8" ht="22.5" customHeight="1" x14ac:dyDescent="0.25">
      <c r="A65" t="s">
        <v>25</v>
      </c>
      <c r="B65" t="str">
        <f ca="1">VLOOKUP(RANDBETWEEN(1,3),Tabla1[],2,FALSE)</f>
        <v xml:space="preserve">Sur </v>
      </c>
      <c r="C65">
        <v>2020</v>
      </c>
      <c r="D65" t="str">
        <f ca="1">VLOOKUP(RANDBETWEEN(1,4),Tabla2[],2,FALSE)</f>
        <v>3er Trimestre</v>
      </c>
      <c r="E65" t="str">
        <f ca="1">VLOOKUP(RANDBETWEEN(1,8),Tabla3[],2,FALSE)</f>
        <v>Impresoras</v>
      </c>
      <c r="F65" s="15">
        <f ca="1">VLOOKUP(RANDBETWEEN(1,12),Tabla4[],2,FALSE)</f>
        <v>27300</v>
      </c>
      <c r="G65" s="15">
        <f ca="1">Tabladatos[[#This Row],[Ingresos]]*VLOOKUP(RANDBETWEEN(1,10),Tabla5[],2,FALSE)</f>
        <v>21840</v>
      </c>
      <c r="H65" s="15">
        <f ca="1">Tabladatos[[#This Row],[Ingresos]]-Tabladatos[[#This Row],[Costos]]</f>
        <v>5460</v>
      </c>
    </row>
    <row r="66" spans="1:8" ht="22.5" customHeight="1" x14ac:dyDescent="0.25">
      <c r="A66" t="s">
        <v>25</v>
      </c>
      <c r="B66" t="str">
        <f ca="1">VLOOKUP(RANDBETWEEN(1,3),Tabla1[],2,FALSE)</f>
        <v xml:space="preserve">Sur </v>
      </c>
      <c r="C66">
        <v>2020</v>
      </c>
      <c r="D66" t="str">
        <f ca="1">VLOOKUP(RANDBETWEEN(1,4),Tabla2[],2,FALSE)</f>
        <v>4to Trimestre</v>
      </c>
      <c r="E66" t="str">
        <f ca="1">VLOOKUP(RANDBETWEEN(1,8),Tabla3[],2,FALSE)</f>
        <v>SSD</v>
      </c>
      <c r="F66" s="15">
        <f ca="1">VLOOKUP(RANDBETWEEN(1,12),Tabla4[],2,FALSE)</f>
        <v>170000</v>
      </c>
      <c r="G66" s="15">
        <f ca="1">Tabladatos[[#This Row],[Ingresos]]*VLOOKUP(RANDBETWEEN(1,10),Tabla5[],2,FALSE)</f>
        <v>17000</v>
      </c>
      <c r="H66" s="15">
        <f ca="1">Tabladatos[[#This Row],[Ingresos]]-Tabladatos[[#This Row],[Costos]]</f>
        <v>153000</v>
      </c>
    </row>
    <row r="67" spans="1:8" ht="22.5" customHeight="1" x14ac:dyDescent="0.25">
      <c r="A67" t="s">
        <v>25</v>
      </c>
      <c r="B67" t="str">
        <f ca="1">VLOOKUP(RANDBETWEEN(1,3),Tabla1[],2,FALSE)</f>
        <v>Central</v>
      </c>
      <c r="C67">
        <v>2020</v>
      </c>
      <c r="D67" t="str">
        <f ca="1">VLOOKUP(RANDBETWEEN(1,4),Tabla2[],2,FALSE)</f>
        <v>1er Trimestre</v>
      </c>
      <c r="E67" t="str">
        <f ca="1">VLOOKUP(RANDBETWEEN(1,8),Tabla3[],2,FALSE)</f>
        <v>Computadoras</v>
      </c>
      <c r="F67" s="15">
        <f ca="1">VLOOKUP(RANDBETWEEN(1,12),Tabla4[],2,FALSE)</f>
        <v>599800</v>
      </c>
      <c r="G67" s="15">
        <f ca="1">Tabladatos[[#This Row],[Ingresos]]*VLOOKUP(RANDBETWEEN(1,10),Tabla5[],2,FALSE)</f>
        <v>299900</v>
      </c>
      <c r="H67" s="15">
        <f ca="1">Tabladatos[[#This Row],[Ingresos]]-Tabladatos[[#This Row],[Costos]]</f>
        <v>299900</v>
      </c>
    </row>
    <row r="68" spans="1:8" ht="22.5" customHeight="1" x14ac:dyDescent="0.25">
      <c r="A68" t="s">
        <v>25</v>
      </c>
      <c r="B68" t="str">
        <f ca="1">VLOOKUP(RANDBETWEEN(1,3),Tabla1[],2,FALSE)</f>
        <v>Central</v>
      </c>
      <c r="C68">
        <v>2020</v>
      </c>
      <c r="D68" t="str">
        <f ca="1">VLOOKUP(RANDBETWEEN(1,4),Tabla2[],2,FALSE)</f>
        <v>1er Trimestre</v>
      </c>
      <c r="E68" t="str">
        <f ca="1">VLOOKUP(RANDBETWEEN(1,8),Tabla3[],2,FALSE)</f>
        <v>SSD</v>
      </c>
      <c r="F68" s="15">
        <f ca="1">VLOOKUP(RANDBETWEEN(1,12),Tabla4[],2,FALSE)</f>
        <v>300000</v>
      </c>
      <c r="G68" s="15">
        <f ca="1">Tabladatos[[#This Row],[Ingresos]]*VLOOKUP(RANDBETWEEN(1,10),Tabla5[],2,FALSE)</f>
        <v>150000</v>
      </c>
      <c r="H68" s="15">
        <f ca="1">Tabladatos[[#This Row],[Ingresos]]-Tabladatos[[#This Row],[Costos]]</f>
        <v>150000</v>
      </c>
    </row>
    <row r="69" spans="1:8" ht="22.5" customHeight="1" x14ac:dyDescent="0.25">
      <c r="A69" t="s">
        <v>25</v>
      </c>
      <c r="B69" t="str">
        <f ca="1">VLOOKUP(RANDBETWEEN(1,3),Tabla1[],2,FALSE)</f>
        <v>Central</v>
      </c>
      <c r="C69">
        <v>2020</v>
      </c>
      <c r="D69" t="str">
        <f ca="1">VLOOKUP(RANDBETWEEN(1,4),Tabla2[],2,FALSE)</f>
        <v>3er Trimestre</v>
      </c>
      <c r="E69" t="str">
        <f ca="1">VLOOKUP(RANDBETWEEN(1,8),Tabla3[],2,FALSE)</f>
        <v>Impresoras</v>
      </c>
      <c r="F69" s="15">
        <f ca="1">VLOOKUP(RANDBETWEEN(1,12),Tabla4[],2,FALSE)</f>
        <v>365285</v>
      </c>
      <c r="G69" s="15">
        <f ca="1">Tabladatos[[#This Row],[Ingresos]]*VLOOKUP(RANDBETWEEN(1,10),Tabla5[],2,FALSE)</f>
        <v>182642.5</v>
      </c>
      <c r="H69" s="15">
        <f ca="1">Tabladatos[[#This Row],[Ingresos]]-Tabladatos[[#This Row],[Costos]]</f>
        <v>182642.5</v>
      </c>
    </row>
    <row r="70" spans="1:8" ht="22.5" customHeight="1" x14ac:dyDescent="0.25">
      <c r="A70" t="s">
        <v>25</v>
      </c>
      <c r="B70" t="str">
        <f ca="1">VLOOKUP(RANDBETWEEN(1,3),Tabla1[],2,FALSE)</f>
        <v xml:space="preserve">Sur </v>
      </c>
      <c r="C70">
        <v>2020</v>
      </c>
      <c r="D70" t="str">
        <f ca="1">VLOOKUP(RANDBETWEEN(1,4),Tabla2[],2,FALSE)</f>
        <v>3er Trimestre</v>
      </c>
      <c r="E70" t="str">
        <f ca="1">VLOOKUP(RANDBETWEEN(1,8),Tabla3[],2,FALSE)</f>
        <v>Tarjetas Wifi</v>
      </c>
      <c r="F70" s="15">
        <f ca="1">VLOOKUP(RANDBETWEEN(1,12),Tabla4[],2,FALSE)</f>
        <v>599800</v>
      </c>
      <c r="G70" s="15">
        <f ca="1">Tabladatos[[#This Row],[Ingresos]]*VLOOKUP(RANDBETWEEN(1,10),Tabla5[],2,FALSE)</f>
        <v>59980</v>
      </c>
      <c r="H70" s="15">
        <f ca="1">Tabladatos[[#This Row],[Ingresos]]-Tabladatos[[#This Row],[Costos]]</f>
        <v>539820</v>
      </c>
    </row>
    <row r="71" spans="1:8" ht="22.5" customHeight="1" x14ac:dyDescent="0.25">
      <c r="A71" t="s">
        <v>25</v>
      </c>
      <c r="B71" t="str">
        <f ca="1">VLOOKUP(RANDBETWEEN(1,3),Tabla1[],2,FALSE)</f>
        <v xml:space="preserve">Sur </v>
      </c>
      <c r="C71">
        <v>2020</v>
      </c>
      <c r="D71" t="str">
        <f ca="1">VLOOKUP(RANDBETWEEN(1,4),Tabla2[],2,FALSE)</f>
        <v>3er Trimestre</v>
      </c>
      <c r="E71" t="str">
        <f ca="1">VLOOKUP(RANDBETWEEN(1,8),Tabla3[],2,FALSE)</f>
        <v>Memorias USB</v>
      </c>
      <c r="F71" s="15">
        <f ca="1">VLOOKUP(RANDBETWEEN(1,12),Tabla4[],2,FALSE)</f>
        <v>490000</v>
      </c>
      <c r="G71" s="15">
        <f ca="1">Tabladatos[[#This Row],[Ingresos]]*VLOOKUP(RANDBETWEEN(1,10),Tabla5[],2,FALSE)</f>
        <v>196000</v>
      </c>
      <c r="H71" s="15">
        <f ca="1">Tabladatos[[#This Row],[Ingresos]]-Tabladatos[[#This Row],[Costos]]</f>
        <v>294000</v>
      </c>
    </row>
    <row r="72" spans="1:8" ht="22.5" customHeight="1" x14ac:dyDescent="0.25">
      <c r="A72" t="s">
        <v>25</v>
      </c>
      <c r="B72" t="str">
        <f ca="1">VLOOKUP(RANDBETWEEN(1,3),Tabla1[],2,FALSE)</f>
        <v xml:space="preserve">Sur </v>
      </c>
      <c r="C72">
        <v>2020</v>
      </c>
      <c r="D72" t="str">
        <f ca="1">VLOOKUP(RANDBETWEEN(1,4),Tabla2[],2,FALSE)</f>
        <v>2do Trimestre</v>
      </c>
      <c r="E72" t="str">
        <f ca="1">VLOOKUP(RANDBETWEEN(1,8),Tabla3[],2,FALSE)</f>
        <v>Monitores</v>
      </c>
      <c r="F72" s="15">
        <f ca="1">VLOOKUP(RANDBETWEEN(1,12),Tabla4[],2,FALSE)</f>
        <v>66150</v>
      </c>
      <c r="G72" s="15">
        <f ca="1">Tabladatos[[#This Row],[Ingresos]]*VLOOKUP(RANDBETWEEN(1,10),Tabla5[],2,FALSE)</f>
        <v>19845</v>
      </c>
      <c r="H72" s="15">
        <f ca="1">Tabladatos[[#This Row],[Ingresos]]-Tabladatos[[#This Row],[Costos]]</f>
        <v>46305</v>
      </c>
    </row>
    <row r="73" spans="1:8" ht="22.5" customHeight="1" x14ac:dyDescent="0.25">
      <c r="A73" t="s">
        <v>25</v>
      </c>
      <c r="B73" t="str">
        <f ca="1">VLOOKUP(RANDBETWEEN(1,3),Tabla1[],2,FALSE)</f>
        <v>Norte</v>
      </c>
      <c r="C73">
        <v>2020</v>
      </c>
      <c r="D73" t="str">
        <f ca="1">VLOOKUP(RANDBETWEEN(1,4),Tabla2[],2,FALSE)</f>
        <v>2do Trimestre</v>
      </c>
      <c r="E73" t="str">
        <f ca="1">VLOOKUP(RANDBETWEEN(1,8),Tabla3[],2,FALSE)</f>
        <v>Tarjetas Wifi</v>
      </c>
      <c r="F73" s="15">
        <f ca="1">VLOOKUP(RANDBETWEEN(1,12),Tabla4[],2,FALSE)</f>
        <v>66150</v>
      </c>
      <c r="G73" s="15">
        <f ca="1">Tabladatos[[#This Row],[Ingresos]]*VLOOKUP(RANDBETWEEN(1,10),Tabla5[],2,FALSE)</f>
        <v>16537.5</v>
      </c>
      <c r="H73" s="15">
        <f ca="1">Tabladatos[[#This Row],[Ingresos]]-Tabladatos[[#This Row],[Costos]]</f>
        <v>49612.5</v>
      </c>
    </row>
    <row r="74" spans="1:8" ht="22.5" customHeight="1" x14ac:dyDescent="0.25">
      <c r="A74" t="s">
        <v>25</v>
      </c>
      <c r="B74" t="str">
        <f ca="1">VLOOKUP(RANDBETWEEN(1,3),Tabla1[],2,FALSE)</f>
        <v>Central</v>
      </c>
      <c r="C74">
        <v>2020</v>
      </c>
      <c r="D74" t="str">
        <f ca="1">VLOOKUP(RANDBETWEEN(1,4),Tabla2[],2,FALSE)</f>
        <v>1er Trimestre</v>
      </c>
      <c r="E74" t="str">
        <f ca="1">VLOOKUP(RANDBETWEEN(1,8),Tabla3[],2,FALSE)</f>
        <v>Memorias USB</v>
      </c>
      <c r="F74" s="15">
        <f ca="1">VLOOKUP(RANDBETWEEN(1,12),Tabla4[],2,FALSE)</f>
        <v>228990</v>
      </c>
      <c r="G74" s="15">
        <f ca="1">Tabladatos[[#This Row],[Ingresos]]*VLOOKUP(RANDBETWEEN(1,10),Tabla5[],2,FALSE)</f>
        <v>68697</v>
      </c>
      <c r="H74" s="15">
        <f ca="1">Tabladatos[[#This Row],[Ingresos]]-Tabladatos[[#This Row],[Costos]]</f>
        <v>160293</v>
      </c>
    </row>
    <row r="75" spans="1:8" ht="22.5" customHeight="1" x14ac:dyDescent="0.25">
      <c r="A75" t="s">
        <v>25</v>
      </c>
      <c r="B75" t="str">
        <f ca="1">VLOOKUP(RANDBETWEEN(1,3),Tabla1[],2,FALSE)</f>
        <v>Norte</v>
      </c>
      <c r="C75">
        <v>2020</v>
      </c>
      <c r="D75" t="str">
        <f ca="1">VLOOKUP(RANDBETWEEN(1,4),Tabla2[],2,FALSE)</f>
        <v>4to Trimestre</v>
      </c>
      <c r="E75" t="str">
        <f ca="1">VLOOKUP(RANDBETWEEN(1,8),Tabla3[],2,FALSE)</f>
        <v>Escáners</v>
      </c>
      <c r="F75" s="15">
        <f ca="1">VLOOKUP(RANDBETWEEN(1,12),Tabla4[],2,FALSE)</f>
        <v>120460</v>
      </c>
      <c r="G75" s="15">
        <f ca="1">Tabladatos[[#This Row],[Ingresos]]*VLOOKUP(RANDBETWEEN(1,10),Tabla5[],2,FALSE)</f>
        <v>24092</v>
      </c>
      <c r="H75" s="15">
        <f ca="1">Tabladatos[[#This Row],[Ingresos]]-Tabladatos[[#This Row],[Costos]]</f>
        <v>96368</v>
      </c>
    </row>
    <row r="76" spans="1:8" ht="22.5" customHeight="1" x14ac:dyDescent="0.25">
      <c r="A76" t="s">
        <v>25</v>
      </c>
      <c r="B76" t="str">
        <f ca="1">VLOOKUP(RANDBETWEEN(1,3),Tabla1[],2,FALSE)</f>
        <v xml:space="preserve">Sur </v>
      </c>
      <c r="C76">
        <v>2020</v>
      </c>
      <c r="D76" t="str">
        <f ca="1">VLOOKUP(RANDBETWEEN(1,4),Tabla2[],2,FALSE)</f>
        <v>1er Trimestre</v>
      </c>
      <c r="E76" t="str">
        <f ca="1">VLOOKUP(RANDBETWEEN(1,8),Tabla3[],2,FALSE)</f>
        <v>Monitores</v>
      </c>
      <c r="F76" s="15">
        <f ca="1">VLOOKUP(RANDBETWEEN(1,12),Tabla4[],2,FALSE)</f>
        <v>170000</v>
      </c>
      <c r="G76" s="15">
        <f ca="1">Tabladatos[[#This Row],[Ingresos]]*VLOOKUP(RANDBETWEEN(1,10),Tabla5[],2,FALSE)</f>
        <v>102000</v>
      </c>
      <c r="H76" s="15">
        <f ca="1">Tabladatos[[#This Row],[Ingresos]]-Tabladatos[[#This Row],[Costos]]</f>
        <v>68000</v>
      </c>
    </row>
    <row r="77" spans="1:8" ht="22.5" customHeight="1" x14ac:dyDescent="0.25">
      <c r="A77" t="s">
        <v>25</v>
      </c>
      <c r="B77" t="str">
        <f ca="1">VLOOKUP(RANDBETWEEN(1,3),Tabla1[],2,FALSE)</f>
        <v xml:space="preserve">Sur </v>
      </c>
      <c r="C77">
        <v>2020</v>
      </c>
      <c r="D77" t="str">
        <f ca="1">VLOOKUP(RANDBETWEEN(1,4),Tabla2[],2,FALSE)</f>
        <v>1er Trimestre</v>
      </c>
      <c r="E77" t="str">
        <f ca="1">VLOOKUP(RANDBETWEEN(1,8),Tabla3[],2,FALSE)</f>
        <v>Laptops</v>
      </c>
      <c r="F77" s="15">
        <f ca="1">VLOOKUP(RANDBETWEEN(1,12),Tabla4[],2,FALSE)</f>
        <v>66150</v>
      </c>
      <c r="G77" s="15">
        <f ca="1">Tabladatos[[#This Row],[Ingresos]]*VLOOKUP(RANDBETWEEN(1,10),Tabla5[],2,FALSE)</f>
        <v>52920</v>
      </c>
      <c r="H77" s="15">
        <f ca="1">Tabladatos[[#This Row],[Ingresos]]-Tabladatos[[#This Row],[Costos]]</f>
        <v>13230</v>
      </c>
    </row>
    <row r="78" spans="1:8" ht="22.5" customHeight="1" x14ac:dyDescent="0.25">
      <c r="A78" t="s">
        <v>25</v>
      </c>
      <c r="B78" t="str">
        <f ca="1">VLOOKUP(RANDBETWEEN(1,3),Tabla1[],2,FALSE)</f>
        <v xml:space="preserve">Sur </v>
      </c>
      <c r="C78">
        <v>2020</v>
      </c>
      <c r="D78" t="str">
        <f ca="1">VLOOKUP(RANDBETWEEN(1,4),Tabla2[],2,FALSE)</f>
        <v>2do Trimestre</v>
      </c>
      <c r="E78" t="str">
        <f ca="1">VLOOKUP(RANDBETWEEN(1,8),Tabla3[],2,FALSE)</f>
        <v>Memorias USB</v>
      </c>
      <c r="F78" s="15">
        <f ca="1">VLOOKUP(RANDBETWEEN(1,12),Tabla4[],2,FALSE)</f>
        <v>27300</v>
      </c>
      <c r="G78" s="15">
        <f ca="1">Tabladatos[[#This Row],[Ingresos]]*VLOOKUP(RANDBETWEEN(1,10),Tabla5[],2,FALSE)</f>
        <v>10920</v>
      </c>
      <c r="H78" s="15">
        <f ca="1">Tabladatos[[#This Row],[Ingresos]]-Tabladatos[[#This Row],[Costos]]</f>
        <v>16380</v>
      </c>
    </row>
    <row r="79" spans="1:8" ht="22.5" customHeight="1" x14ac:dyDescent="0.25">
      <c r="A79" t="s">
        <v>25</v>
      </c>
      <c r="B79" t="str">
        <f ca="1">VLOOKUP(RANDBETWEEN(1,3),Tabla1[],2,FALSE)</f>
        <v>Central</v>
      </c>
      <c r="C79">
        <v>2020</v>
      </c>
      <c r="D79" t="str">
        <f ca="1">VLOOKUP(RANDBETWEEN(1,4),Tabla2[],2,FALSE)</f>
        <v>2do Trimestre</v>
      </c>
      <c r="E79" t="str">
        <f ca="1">VLOOKUP(RANDBETWEEN(1,8),Tabla3[],2,FALSE)</f>
        <v>Escáners</v>
      </c>
      <c r="F79" s="15">
        <f ca="1">VLOOKUP(RANDBETWEEN(1,12),Tabla4[],2,FALSE)</f>
        <v>535990</v>
      </c>
      <c r="G79" s="15">
        <f ca="1">Tabladatos[[#This Row],[Ingresos]]*VLOOKUP(RANDBETWEEN(1,10),Tabla5[],2,FALSE)</f>
        <v>214396</v>
      </c>
      <c r="H79" s="15">
        <f ca="1">Tabladatos[[#This Row],[Ingresos]]-Tabladatos[[#This Row],[Costos]]</f>
        <v>321594</v>
      </c>
    </row>
    <row r="80" spans="1:8" ht="22.5" customHeight="1" x14ac:dyDescent="0.25">
      <c r="A80" t="s">
        <v>25</v>
      </c>
      <c r="B80" t="str">
        <f ca="1">VLOOKUP(RANDBETWEEN(1,3),Tabla1[],2,FALSE)</f>
        <v>Central</v>
      </c>
      <c r="C80">
        <v>2020</v>
      </c>
      <c r="D80" t="str">
        <f ca="1">VLOOKUP(RANDBETWEEN(1,4),Tabla2[],2,FALSE)</f>
        <v>4to Trimestre</v>
      </c>
      <c r="E80" t="str">
        <f ca="1">VLOOKUP(RANDBETWEEN(1,8),Tabla3[],2,FALSE)</f>
        <v>Monitores</v>
      </c>
      <c r="F80" s="15">
        <f ca="1">VLOOKUP(RANDBETWEEN(1,12),Tabla4[],2,FALSE)</f>
        <v>228990</v>
      </c>
      <c r="G80" s="15">
        <f ca="1">Tabladatos[[#This Row],[Ingresos]]*VLOOKUP(RANDBETWEEN(1,10),Tabla5[],2,FALSE)</f>
        <v>34348.5</v>
      </c>
      <c r="H80" s="15">
        <f ca="1">Tabladatos[[#This Row],[Ingresos]]-Tabladatos[[#This Row],[Costos]]</f>
        <v>194641.5</v>
      </c>
    </row>
    <row r="81" spans="1:8" ht="22.5" customHeight="1" x14ac:dyDescent="0.25">
      <c r="A81" t="s">
        <v>25</v>
      </c>
      <c r="B81" t="str">
        <f ca="1">VLOOKUP(RANDBETWEEN(1,3),Tabla1[],2,FALSE)</f>
        <v>Norte</v>
      </c>
      <c r="C81">
        <v>2020</v>
      </c>
      <c r="D81" t="str">
        <f ca="1">VLOOKUP(RANDBETWEEN(1,4),Tabla2[],2,FALSE)</f>
        <v>4to Trimestre</v>
      </c>
      <c r="E81" t="str">
        <f ca="1">VLOOKUP(RANDBETWEEN(1,8),Tabla3[],2,FALSE)</f>
        <v>Monitores</v>
      </c>
      <c r="F81" s="15">
        <f ca="1">VLOOKUP(RANDBETWEEN(1,12),Tabla4[],2,FALSE)</f>
        <v>66150</v>
      </c>
      <c r="G81" s="15">
        <f ca="1">Tabladatos[[#This Row],[Ingresos]]*VLOOKUP(RANDBETWEEN(1,10),Tabla5[],2,FALSE)</f>
        <v>52920</v>
      </c>
      <c r="H81" s="15">
        <f ca="1">Tabladatos[[#This Row],[Ingresos]]-Tabladatos[[#This Row],[Costos]]</f>
        <v>13230</v>
      </c>
    </row>
    <row r="82" spans="1:8" ht="22.5" customHeight="1" x14ac:dyDescent="0.25">
      <c r="A82" t="s">
        <v>25</v>
      </c>
      <c r="B82" t="str">
        <f ca="1">VLOOKUP(RANDBETWEEN(1,3),Tabla1[],2,FALSE)</f>
        <v>Norte</v>
      </c>
      <c r="C82">
        <v>2020</v>
      </c>
      <c r="D82" t="str">
        <f ca="1">VLOOKUP(RANDBETWEEN(1,4),Tabla2[],2,FALSE)</f>
        <v>2do Trimestre</v>
      </c>
      <c r="E82" t="str">
        <f ca="1">VLOOKUP(RANDBETWEEN(1,8),Tabla3[],2,FALSE)</f>
        <v>Memorias USB</v>
      </c>
      <c r="F82" s="15">
        <f ca="1">VLOOKUP(RANDBETWEEN(1,12),Tabla4[],2,FALSE)</f>
        <v>535990</v>
      </c>
      <c r="G82" s="15">
        <f ca="1">Tabladatos[[#This Row],[Ingresos]]*VLOOKUP(RANDBETWEEN(1,10),Tabla5[],2,FALSE)</f>
        <v>107198</v>
      </c>
      <c r="H82" s="15">
        <f ca="1">Tabladatos[[#This Row],[Ingresos]]-Tabladatos[[#This Row],[Costos]]</f>
        <v>428792</v>
      </c>
    </row>
    <row r="83" spans="1:8" ht="22.5" customHeight="1" x14ac:dyDescent="0.25">
      <c r="A83" t="s">
        <v>25</v>
      </c>
      <c r="B83" t="str">
        <f ca="1">VLOOKUP(RANDBETWEEN(1,3),Tabla1[],2,FALSE)</f>
        <v>Norte</v>
      </c>
      <c r="C83">
        <v>2020</v>
      </c>
      <c r="D83" t="str">
        <f ca="1">VLOOKUP(RANDBETWEEN(1,4),Tabla2[],2,FALSE)</f>
        <v>4to Trimestre</v>
      </c>
      <c r="E83" t="str">
        <f ca="1">VLOOKUP(RANDBETWEEN(1,8),Tabla3[],2,FALSE)</f>
        <v>Laptops</v>
      </c>
      <c r="F83" s="15">
        <f ca="1">VLOOKUP(RANDBETWEEN(1,12),Tabla4[],2,FALSE)</f>
        <v>365285</v>
      </c>
      <c r="G83" s="15">
        <f ca="1">Tabladatos[[#This Row],[Ingresos]]*VLOOKUP(RANDBETWEEN(1,10),Tabla5[],2,FALSE)</f>
        <v>91321.25</v>
      </c>
      <c r="H83" s="15">
        <f ca="1">Tabladatos[[#This Row],[Ingresos]]-Tabladatos[[#This Row],[Costos]]</f>
        <v>273963.75</v>
      </c>
    </row>
    <row r="84" spans="1:8" ht="22.5" customHeight="1" x14ac:dyDescent="0.25">
      <c r="A84" t="s">
        <v>25</v>
      </c>
      <c r="B84" t="str">
        <f ca="1">VLOOKUP(RANDBETWEEN(1,3),Tabla1[],2,FALSE)</f>
        <v>Norte</v>
      </c>
      <c r="C84">
        <v>2020</v>
      </c>
      <c r="D84" t="str">
        <f ca="1">VLOOKUP(RANDBETWEEN(1,4),Tabla2[],2,FALSE)</f>
        <v>3er Trimestre</v>
      </c>
      <c r="E84" t="str">
        <f ca="1">VLOOKUP(RANDBETWEEN(1,8),Tabla3[],2,FALSE)</f>
        <v>Memorias USB</v>
      </c>
      <c r="F84" s="15">
        <f ca="1">VLOOKUP(RANDBETWEEN(1,12),Tabla4[],2,FALSE)</f>
        <v>228990</v>
      </c>
      <c r="G84" s="15">
        <f ca="1">Tabladatos[[#This Row],[Ingresos]]*VLOOKUP(RANDBETWEEN(1,10),Tabla5[],2,FALSE)</f>
        <v>114495</v>
      </c>
      <c r="H84" s="15">
        <f ca="1">Tabladatos[[#This Row],[Ingresos]]-Tabladatos[[#This Row],[Costos]]</f>
        <v>114495</v>
      </c>
    </row>
    <row r="85" spans="1:8" ht="22.5" customHeight="1" x14ac:dyDescent="0.25">
      <c r="A85" t="s">
        <v>25</v>
      </c>
      <c r="B85" t="str">
        <f ca="1">VLOOKUP(RANDBETWEEN(1,3),Tabla1[],2,FALSE)</f>
        <v xml:space="preserve">Sur </v>
      </c>
      <c r="C85">
        <v>2020</v>
      </c>
      <c r="D85" t="str">
        <f ca="1">VLOOKUP(RANDBETWEEN(1,4),Tabla2[],2,FALSE)</f>
        <v>3er Trimestre</v>
      </c>
      <c r="E85" t="str">
        <f ca="1">VLOOKUP(RANDBETWEEN(1,8),Tabla3[],2,FALSE)</f>
        <v>Monitores</v>
      </c>
      <c r="F85" s="15">
        <f ca="1">VLOOKUP(RANDBETWEEN(1,12),Tabla4[],2,FALSE)</f>
        <v>66150</v>
      </c>
      <c r="G85" s="15">
        <f ca="1">Tabladatos[[#This Row],[Ingresos]]*VLOOKUP(RANDBETWEEN(1,10),Tabla5[],2,FALSE)</f>
        <v>33075</v>
      </c>
      <c r="H85" s="15">
        <f ca="1">Tabladatos[[#This Row],[Ingresos]]-Tabladatos[[#This Row],[Costos]]</f>
        <v>33075</v>
      </c>
    </row>
    <row r="86" spans="1:8" ht="22.5" customHeight="1" x14ac:dyDescent="0.25">
      <c r="A86" t="s">
        <v>25</v>
      </c>
      <c r="B86" t="str">
        <f ca="1">VLOOKUP(RANDBETWEEN(1,3),Tabla1[],2,FALSE)</f>
        <v xml:space="preserve">Sur </v>
      </c>
      <c r="C86">
        <v>2020</v>
      </c>
      <c r="D86" t="str">
        <f ca="1">VLOOKUP(RANDBETWEEN(1,4),Tabla2[],2,FALSE)</f>
        <v>3er Trimestre</v>
      </c>
      <c r="E86" t="str">
        <f ca="1">VLOOKUP(RANDBETWEEN(1,8),Tabla3[],2,FALSE)</f>
        <v>Memorias USB</v>
      </c>
      <c r="F86" s="15">
        <f ca="1">VLOOKUP(RANDBETWEEN(1,12),Tabla4[],2,FALSE)</f>
        <v>27300</v>
      </c>
      <c r="G86" s="15">
        <f ca="1">Tabladatos[[#This Row],[Ingresos]]*VLOOKUP(RANDBETWEEN(1,10),Tabla5[],2,FALSE)</f>
        <v>2730</v>
      </c>
      <c r="H86" s="15">
        <f ca="1">Tabladatos[[#This Row],[Ingresos]]-Tabladatos[[#This Row],[Costos]]</f>
        <v>24570</v>
      </c>
    </row>
    <row r="87" spans="1:8" ht="22.5" customHeight="1" x14ac:dyDescent="0.25">
      <c r="A87" t="s">
        <v>8</v>
      </c>
      <c r="B87" t="str">
        <f ca="1">VLOOKUP(RANDBETWEEN(1,3),Tabla1[],2,FALSE)</f>
        <v xml:space="preserve">Sur </v>
      </c>
      <c r="C87">
        <v>2020</v>
      </c>
      <c r="D87" t="str">
        <f ca="1">VLOOKUP(RANDBETWEEN(1,4),Tabla2[],2,FALSE)</f>
        <v>2do Trimestre</v>
      </c>
      <c r="E87" t="str">
        <f ca="1">VLOOKUP(RANDBETWEEN(1,8),Tabla3[],2,FALSE)</f>
        <v>Impresoras</v>
      </c>
      <c r="F87" s="15">
        <f ca="1">VLOOKUP(RANDBETWEEN(1,12),Tabla4[],2,FALSE)</f>
        <v>599800</v>
      </c>
      <c r="G87" s="15">
        <f ca="1">Tabladatos[[#This Row],[Ingresos]]*VLOOKUP(RANDBETWEEN(1,10),Tabla5[],2,FALSE)</f>
        <v>479840</v>
      </c>
      <c r="H87" s="15">
        <f ca="1">Tabladatos[[#This Row],[Ingresos]]-Tabladatos[[#This Row],[Costos]]</f>
        <v>119960</v>
      </c>
    </row>
    <row r="88" spans="1:8" ht="22.5" customHeight="1" x14ac:dyDescent="0.25">
      <c r="A88" t="s">
        <v>8</v>
      </c>
      <c r="B88" t="str">
        <f ca="1">VLOOKUP(RANDBETWEEN(1,3),Tabla1[],2,FALSE)</f>
        <v>Central</v>
      </c>
      <c r="C88">
        <v>2020</v>
      </c>
      <c r="D88" t="str">
        <f ca="1">VLOOKUP(RANDBETWEEN(1,4),Tabla2[],2,FALSE)</f>
        <v>3er Trimestre</v>
      </c>
      <c r="E88" t="str">
        <f ca="1">VLOOKUP(RANDBETWEEN(1,8),Tabla3[],2,FALSE)</f>
        <v>SSD</v>
      </c>
      <c r="F88" s="15">
        <f ca="1">VLOOKUP(RANDBETWEEN(1,12),Tabla4[],2,FALSE)</f>
        <v>535990</v>
      </c>
      <c r="G88" s="15">
        <f ca="1">Tabladatos[[#This Row],[Ingresos]]*VLOOKUP(RANDBETWEEN(1,10),Tabla5[],2,FALSE)</f>
        <v>214396</v>
      </c>
      <c r="H88" s="15">
        <f ca="1">Tabladatos[[#This Row],[Ingresos]]-Tabladatos[[#This Row],[Costos]]</f>
        <v>321594</v>
      </c>
    </row>
    <row r="89" spans="1:8" ht="22.5" customHeight="1" x14ac:dyDescent="0.25">
      <c r="A89" t="s">
        <v>8</v>
      </c>
      <c r="B89" t="str">
        <f ca="1">VLOOKUP(RANDBETWEEN(1,3),Tabla1[],2,FALSE)</f>
        <v xml:space="preserve">Sur </v>
      </c>
      <c r="C89">
        <v>2020</v>
      </c>
      <c r="D89" t="str">
        <f ca="1">VLOOKUP(RANDBETWEEN(1,4),Tabla2[],2,FALSE)</f>
        <v>3er Trimestre</v>
      </c>
      <c r="E89" t="str">
        <f ca="1">VLOOKUP(RANDBETWEEN(1,8),Tabla3[],2,FALSE)</f>
        <v>Laptops</v>
      </c>
      <c r="F89" s="15">
        <f ca="1">VLOOKUP(RANDBETWEEN(1,12),Tabla4[],2,FALSE)</f>
        <v>365285</v>
      </c>
      <c r="G89" s="15">
        <f ca="1">Tabladatos[[#This Row],[Ingresos]]*VLOOKUP(RANDBETWEEN(1,10),Tabla5[],2,FALSE)</f>
        <v>292228</v>
      </c>
      <c r="H89" s="15">
        <f ca="1">Tabladatos[[#This Row],[Ingresos]]-Tabladatos[[#This Row],[Costos]]</f>
        <v>73057</v>
      </c>
    </row>
    <row r="90" spans="1:8" ht="22.5" customHeight="1" x14ac:dyDescent="0.25">
      <c r="A90" t="s">
        <v>8</v>
      </c>
      <c r="B90" t="str">
        <f ca="1">VLOOKUP(RANDBETWEEN(1,3),Tabla1[],2,FALSE)</f>
        <v xml:space="preserve">Sur </v>
      </c>
      <c r="C90">
        <v>2020</v>
      </c>
      <c r="D90" t="str">
        <f ca="1">VLOOKUP(RANDBETWEEN(1,4),Tabla2[],2,FALSE)</f>
        <v>1er Trimestre</v>
      </c>
      <c r="E90" t="str">
        <f ca="1">VLOOKUP(RANDBETWEEN(1,8),Tabla3[],2,FALSE)</f>
        <v>SSD</v>
      </c>
      <c r="F90" s="15">
        <f ca="1">VLOOKUP(RANDBETWEEN(1,12),Tabla4[],2,FALSE)</f>
        <v>228990</v>
      </c>
      <c r="G90" s="15">
        <f ca="1">Tabladatos[[#This Row],[Ingresos]]*VLOOKUP(RANDBETWEEN(1,10),Tabla5[],2,FALSE)</f>
        <v>34348.5</v>
      </c>
      <c r="H90" s="15">
        <f ca="1">Tabladatos[[#This Row],[Ingresos]]-Tabladatos[[#This Row],[Costos]]</f>
        <v>194641.5</v>
      </c>
    </row>
    <row r="91" spans="1:8" ht="22.5" customHeight="1" x14ac:dyDescent="0.25">
      <c r="A91" t="s">
        <v>8</v>
      </c>
      <c r="B91" t="str">
        <f ca="1">VLOOKUP(RANDBETWEEN(1,3),Tabla1[],2,FALSE)</f>
        <v xml:space="preserve">Sur </v>
      </c>
      <c r="C91">
        <v>2020</v>
      </c>
      <c r="D91" t="str">
        <f ca="1">VLOOKUP(RANDBETWEEN(1,4),Tabla2[],2,FALSE)</f>
        <v>1er Trimestre</v>
      </c>
      <c r="E91" t="str">
        <f ca="1">VLOOKUP(RANDBETWEEN(1,8),Tabla3[],2,FALSE)</f>
        <v>Memorias USB</v>
      </c>
      <c r="F91" s="15">
        <f ca="1">VLOOKUP(RANDBETWEEN(1,12),Tabla4[],2,FALSE)</f>
        <v>300000</v>
      </c>
      <c r="G91" s="15">
        <f ca="1">Tabladatos[[#This Row],[Ingresos]]*VLOOKUP(RANDBETWEEN(1,10),Tabla5[],2,FALSE)</f>
        <v>210000</v>
      </c>
      <c r="H91" s="15">
        <f ca="1">Tabladatos[[#This Row],[Ingresos]]-Tabladatos[[#This Row],[Costos]]</f>
        <v>90000</v>
      </c>
    </row>
    <row r="92" spans="1:8" ht="22.5" customHeight="1" x14ac:dyDescent="0.25">
      <c r="A92" t="s">
        <v>8</v>
      </c>
      <c r="B92" t="str">
        <f ca="1">VLOOKUP(RANDBETWEEN(1,3),Tabla1[],2,FALSE)</f>
        <v xml:space="preserve">Sur </v>
      </c>
      <c r="C92">
        <v>2020</v>
      </c>
      <c r="D92" t="str">
        <f ca="1">VLOOKUP(RANDBETWEEN(1,4),Tabla2[],2,FALSE)</f>
        <v>2do Trimestre</v>
      </c>
      <c r="E92" t="str">
        <f ca="1">VLOOKUP(RANDBETWEEN(1,8),Tabla3[],2,FALSE)</f>
        <v>Impresoras</v>
      </c>
      <c r="F92" s="15">
        <f ca="1">VLOOKUP(RANDBETWEEN(1,12),Tabla4[],2,FALSE)</f>
        <v>535990</v>
      </c>
      <c r="G92" s="15">
        <f ca="1">Tabladatos[[#This Row],[Ingresos]]*VLOOKUP(RANDBETWEEN(1,10),Tabla5[],2,FALSE)</f>
        <v>80398.5</v>
      </c>
      <c r="H92" s="15">
        <f ca="1">Tabladatos[[#This Row],[Ingresos]]-Tabladatos[[#This Row],[Costos]]</f>
        <v>455591.5</v>
      </c>
    </row>
    <row r="93" spans="1:8" ht="22.5" customHeight="1" x14ac:dyDescent="0.25">
      <c r="A93" t="s">
        <v>8</v>
      </c>
      <c r="B93" t="str">
        <f ca="1">VLOOKUP(RANDBETWEEN(1,3),Tabla1[],2,FALSE)</f>
        <v xml:space="preserve">Sur </v>
      </c>
      <c r="C93">
        <v>2020</v>
      </c>
      <c r="D93" t="str">
        <f ca="1">VLOOKUP(RANDBETWEEN(1,4),Tabla2[],2,FALSE)</f>
        <v>2do Trimestre</v>
      </c>
      <c r="E93" t="str">
        <f ca="1">VLOOKUP(RANDBETWEEN(1,8),Tabla3[],2,FALSE)</f>
        <v>Tarjetas Wifi</v>
      </c>
      <c r="F93" s="15">
        <f ca="1">VLOOKUP(RANDBETWEEN(1,12),Tabla4[],2,FALSE)</f>
        <v>535990</v>
      </c>
      <c r="G93" s="15">
        <f ca="1">Tabladatos[[#This Row],[Ingresos]]*VLOOKUP(RANDBETWEEN(1,10),Tabla5[],2,FALSE)</f>
        <v>53599</v>
      </c>
      <c r="H93" s="15">
        <f ca="1">Tabladatos[[#This Row],[Ingresos]]-Tabladatos[[#This Row],[Costos]]</f>
        <v>482391</v>
      </c>
    </row>
    <row r="94" spans="1:8" ht="22.5" customHeight="1" x14ac:dyDescent="0.25">
      <c r="A94" t="s">
        <v>8</v>
      </c>
      <c r="B94" t="str">
        <f ca="1">VLOOKUP(RANDBETWEEN(1,3),Tabla1[],2,FALSE)</f>
        <v xml:space="preserve">Sur </v>
      </c>
      <c r="C94">
        <v>2020</v>
      </c>
      <c r="D94" t="str">
        <f ca="1">VLOOKUP(RANDBETWEEN(1,4),Tabla2[],2,FALSE)</f>
        <v>2do Trimestre</v>
      </c>
      <c r="E94" t="str">
        <f ca="1">VLOOKUP(RANDBETWEEN(1,8),Tabla3[],2,FALSE)</f>
        <v>Memorias USB</v>
      </c>
      <c r="F94" s="15">
        <f ca="1">VLOOKUP(RANDBETWEEN(1,12),Tabla4[],2,FALSE)</f>
        <v>170000</v>
      </c>
      <c r="G94" s="15">
        <f ca="1">Tabladatos[[#This Row],[Ingresos]]*VLOOKUP(RANDBETWEEN(1,10),Tabla5[],2,FALSE)</f>
        <v>17000</v>
      </c>
      <c r="H94" s="15">
        <f ca="1">Tabladatos[[#This Row],[Ingresos]]-Tabladatos[[#This Row],[Costos]]</f>
        <v>153000</v>
      </c>
    </row>
    <row r="95" spans="1:8" ht="22.5" customHeight="1" x14ac:dyDescent="0.25">
      <c r="A95" t="s">
        <v>8</v>
      </c>
      <c r="B95" t="str">
        <f ca="1">VLOOKUP(RANDBETWEEN(1,3),Tabla1[],2,FALSE)</f>
        <v xml:space="preserve">Sur </v>
      </c>
      <c r="C95">
        <v>2020</v>
      </c>
      <c r="D95" t="str">
        <f ca="1">VLOOKUP(RANDBETWEEN(1,4),Tabla2[],2,FALSE)</f>
        <v>3er Trimestre</v>
      </c>
      <c r="E95" t="str">
        <f ca="1">VLOOKUP(RANDBETWEEN(1,8),Tabla3[],2,FALSE)</f>
        <v>Computadoras</v>
      </c>
      <c r="F95" s="15">
        <f ca="1">VLOOKUP(RANDBETWEEN(1,12),Tabla4[],2,FALSE)</f>
        <v>365285</v>
      </c>
      <c r="G95" s="15">
        <f ca="1">Tabladatos[[#This Row],[Ingresos]]*VLOOKUP(RANDBETWEEN(1,10),Tabla5[],2,FALSE)</f>
        <v>255699.49999999997</v>
      </c>
      <c r="H95" s="15">
        <f ca="1">Tabladatos[[#This Row],[Ingresos]]-Tabladatos[[#This Row],[Costos]]</f>
        <v>109585.50000000003</v>
      </c>
    </row>
    <row r="96" spans="1:8" ht="22.5" customHeight="1" x14ac:dyDescent="0.25">
      <c r="A96" t="s">
        <v>8</v>
      </c>
      <c r="B96" t="str">
        <f ca="1">VLOOKUP(RANDBETWEEN(1,3),Tabla1[],2,FALSE)</f>
        <v>Central</v>
      </c>
      <c r="C96">
        <v>2020</v>
      </c>
      <c r="D96" t="str">
        <f ca="1">VLOOKUP(RANDBETWEEN(1,4),Tabla2[],2,FALSE)</f>
        <v>4to Trimestre</v>
      </c>
      <c r="E96" t="str">
        <f ca="1">VLOOKUP(RANDBETWEEN(1,8),Tabla3[],2,FALSE)</f>
        <v>Impresoras</v>
      </c>
      <c r="F96" s="15">
        <f ca="1">VLOOKUP(RANDBETWEEN(1,12),Tabla4[],2,FALSE)</f>
        <v>120460</v>
      </c>
      <c r="G96" s="15">
        <f ca="1">Tabladatos[[#This Row],[Ingresos]]*VLOOKUP(RANDBETWEEN(1,10),Tabla5[],2,FALSE)</f>
        <v>12046</v>
      </c>
      <c r="H96" s="15">
        <f ca="1">Tabladatos[[#This Row],[Ingresos]]-Tabladatos[[#This Row],[Costos]]</f>
        <v>108414</v>
      </c>
    </row>
    <row r="97" spans="1:8" ht="22.5" customHeight="1" x14ac:dyDescent="0.25">
      <c r="A97" t="s">
        <v>8</v>
      </c>
      <c r="B97" t="str">
        <f ca="1">VLOOKUP(RANDBETWEEN(1,3),Tabla1[],2,FALSE)</f>
        <v>Norte</v>
      </c>
      <c r="C97">
        <v>2020</v>
      </c>
      <c r="D97" t="str">
        <f ca="1">VLOOKUP(RANDBETWEEN(1,4),Tabla2[],2,FALSE)</f>
        <v>1er Trimestre</v>
      </c>
      <c r="E97" t="str">
        <f ca="1">VLOOKUP(RANDBETWEEN(1,8),Tabla3[],2,FALSE)</f>
        <v>Tarjetas Wifi</v>
      </c>
      <c r="F97" s="15">
        <f ca="1">VLOOKUP(RANDBETWEEN(1,12),Tabla4[],2,FALSE)</f>
        <v>95945</v>
      </c>
      <c r="G97" s="15">
        <f ca="1">Tabladatos[[#This Row],[Ingresos]]*VLOOKUP(RANDBETWEEN(1,10),Tabla5[],2,FALSE)</f>
        <v>67161.5</v>
      </c>
      <c r="H97" s="15">
        <f ca="1">Tabladatos[[#This Row],[Ingresos]]-Tabladatos[[#This Row],[Costos]]</f>
        <v>28783.5</v>
      </c>
    </row>
    <row r="98" spans="1:8" ht="22.5" customHeight="1" x14ac:dyDescent="0.25">
      <c r="A98" t="s">
        <v>8</v>
      </c>
      <c r="B98" t="str">
        <f ca="1">VLOOKUP(RANDBETWEEN(1,3),Tabla1[],2,FALSE)</f>
        <v>Central</v>
      </c>
      <c r="C98">
        <v>2020</v>
      </c>
      <c r="D98" t="str">
        <f ca="1">VLOOKUP(RANDBETWEEN(1,4),Tabla2[],2,FALSE)</f>
        <v>1er Trimestre</v>
      </c>
      <c r="E98" t="str">
        <f ca="1">VLOOKUP(RANDBETWEEN(1,8),Tabla3[],2,FALSE)</f>
        <v>Impresoras</v>
      </c>
      <c r="F98" s="15">
        <f ca="1">VLOOKUP(RANDBETWEEN(1,12),Tabla4[],2,FALSE)</f>
        <v>66150</v>
      </c>
      <c r="G98" s="15">
        <f ca="1">Tabladatos[[#This Row],[Ingresos]]*VLOOKUP(RANDBETWEEN(1,10),Tabla5[],2,FALSE)</f>
        <v>16537.5</v>
      </c>
      <c r="H98" s="15">
        <f ca="1">Tabladatos[[#This Row],[Ingresos]]-Tabladatos[[#This Row],[Costos]]</f>
        <v>49612.5</v>
      </c>
    </row>
    <row r="99" spans="1:8" ht="22.5" customHeight="1" x14ac:dyDescent="0.25">
      <c r="A99" t="s">
        <v>8</v>
      </c>
      <c r="B99" t="str">
        <f ca="1">VLOOKUP(RANDBETWEEN(1,3),Tabla1[],2,FALSE)</f>
        <v>Central</v>
      </c>
      <c r="C99">
        <v>2020</v>
      </c>
      <c r="D99" t="str">
        <f ca="1">VLOOKUP(RANDBETWEEN(1,4),Tabla2[],2,FALSE)</f>
        <v>4to Trimestre</v>
      </c>
      <c r="E99" t="str">
        <f ca="1">VLOOKUP(RANDBETWEEN(1,8),Tabla3[],2,FALSE)</f>
        <v>Tarjetas Wifi</v>
      </c>
      <c r="F99" s="15">
        <f ca="1">VLOOKUP(RANDBETWEEN(1,12),Tabla4[],2,FALSE)</f>
        <v>120460</v>
      </c>
      <c r="G99" s="15">
        <f ca="1">Tabladatos[[#This Row],[Ingresos]]*VLOOKUP(RANDBETWEEN(1,10),Tabla5[],2,FALSE)</f>
        <v>30115</v>
      </c>
      <c r="H99" s="15">
        <f ca="1">Tabladatos[[#This Row],[Ingresos]]-Tabladatos[[#This Row],[Costos]]</f>
        <v>90345</v>
      </c>
    </row>
    <row r="100" spans="1:8" ht="22.5" customHeight="1" x14ac:dyDescent="0.25">
      <c r="A100" t="s">
        <v>8</v>
      </c>
      <c r="B100" t="str">
        <f ca="1">VLOOKUP(RANDBETWEEN(1,3),Tabla1[],2,FALSE)</f>
        <v>Norte</v>
      </c>
      <c r="C100">
        <v>2020</v>
      </c>
      <c r="D100" t="str">
        <f ca="1">VLOOKUP(RANDBETWEEN(1,4),Tabla2[],2,FALSE)</f>
        <v>3er Trimestre</v>
      </c>
      <c r="E100" t="str">
        <f ca="1">VLOOKUP(RANDBETWEEN(1,8),Tabla3[],2,FALSE)</f>
        <v>SSD</v>
      </c>
      <c r="F100" s="15">
        <f ca="1">VLOOKUP(RANDBETWEEN(1,12),Tabla4[],2,FALSE)</f>
        <v>415765</v>
      </c>
      <c r="G100" s="15">
        <f ca="1">Tabladatos[[#This Row],[Ingresos]]*VLOOKUP(RANDBETWEEN(1,10),Tabla5[],2,FALSE)</f>
        <v>166306</v>
      </c>
      <c r="H100" s="15">
        <f ca="1">Tabladatos[[#This Row],[Ingresos]]-Tabladatos[[#This Row],[Costos]]</f>
        <v>249459</v>
      </c>
    </row>
    <row r="101" spans="1:8" ht="22.5" customHeight="1" x14ac:dyDescent="0.25">
      <c r="A101" t="s">
        <v>8</v>
      </c>
      <c r="B101" t="str">
        <f ca="1">VLOOKUP(RANDBETWEEN(1,3),Tabla1[],2,FALSE)</f>
        <v>Central</v>
      </c>
      <c r="C101">
        <v>2020</v>
      </c>
      <c r="D101" t="str">
        <f ca="1">VLOOKUP(RANDBETWEEN(1,4),Tabla2[],2,FALSE)</f>
        <v>4to Trimestre</v>
      </c>
      <c r="E101" t="str">
        <f ca="1">VLOOKUP(RANDBETWEEN(1,8),Tabla3[],2,FALSE)</f>
        <v>Escáners</v>
      </c>
      <c r="F101" s="15">
        <f ca="1">VLOOKUP(RANDBETWEEN(1,12),Tabla4[],2,FALSE)</f>
        <v>66150</v>
      </c>
      <c r="G101" s="15">
        <f ca="1">Tabladatos[[#This Row],[Ingresos]]*VLOOKUP(RANDBETWEEN(1,10),Tabla5[],2,FALSE)</f>
        <v>52920</v>
      </c>
      <c r="H101" s="15">
        <f ca="1">Tabladatos[[#This Row],[Ingresos]]-Tabladatos[[#This Row],[Costos]]</f>
        <v>13230</v>
      </c>
    </row>
    <row r="102" spans="1:8" ht="22.5" customHeight="1" x14ac:dyDescent="0.25">
      <c r="A102" t="s">
        <v>8</v>
      </c>
      <c r="B102" t="str">
        <f ca="1">VLOOKUP(RANDBETWEEN(1,3),Tabla1[],2,FALSE)</f>
        <v>Central</v>
      </c>
      <c r="C102">
        <v>2020</v>
      </c>
      <c r="D102" t="str">
        <f ca="1">VLOOKUP(RANDBETWEEN(1,4),Tabla2[],2,FALSE)</f>
        <v>4to Trimestre</v>
      </c>
      <c r="E102" t="str">
        <f ca="1">VLOOKUP(RANDBETWEEN(1,8),Tabla3[],2,FALSE)</f>
        <v>Tarjetas Wifi</v>
      </c>
      <c r="F102" s="15">
        <f ca="1">VLOOKUP(RANDBETWEEN(1,12),Tabla4[],2,FALSE)</f>
        <v>170000</v>
      </c>
      <c r="G102" s="15">
        <f ca="1">Tabladatos[[#This Row],[Ingresos]]*VLOOKUP(RANDBETWEEN(1,10),Tabla5[],2,FALSE)</f>
        <v>68000</v>
      </c>
      <c r="H102" s="15">
        <f ca="1">Tabladatos[[#This Row],[Ingresos]]-Tabladatos[[#This Row],[Costos]]</f>
        <v>102000</v>
      </c>
    </row>
    <row r="103" spans="1:8" ht="22.5" customHeight="1" x14ac:dyDescent="0.25">
      <c r="A103" t="s">
        <v>8</v>
      </c>
      <c r="B103" t="str">
        <f ca="1">VLOOKUP(RANDBETWEEN(1,3),Tabla1[],2,FALSE)</f>
        <v>Central</v>
      </c>
      <c r="C103">
        <v>2020</v>
      </c>
      <c r="D103" t="str">
        <f ca="1">VLOOKUP(RANDBETWEEN(1,4),Tabla2[],2,FALSE)</f>
        <v>4to Trimestre</v>
      </c>
      <c r="E103" t="str">
        <f ca="1">VLOOKUP(RANDBETWEEN(1,8),Tabla3[],2,FALSE)</f>
        <v>Escáners</v>
      </c>
      <c r="F103" s="15">
        <f ca="1">VLOOKUP(RANDBETWEEN(1,12),Tabla4[],2,FALSE)</f>
        <v>415765</v>
      </c>
      <c r="G103" s="15">
        <f ca="1">Tabladatos[[#This Row],[Ingresos]]*VLOOKUP(RANDBETWEEN(1,10),Tabla5[],2,FALSE)</f>
        <v>103941.25</v>
      </c>
      <c r="H103" s="15">
        <f ca="1">Tabladatos[[#This Row],[Ingresos]]-Tabladatos[[#This Row],[Costos]]</f>
        <v>311823.75</v>
      </c>
    </row>
    <row r="104" spans="1:8" ht="22.5" customHeight="1" x14ac:dyDescent="0.25">
      <c r="A104" t="s">
        <v>8</v>
      </c>
      <c r="B104" t="str">
        <f ca="1">VLOOKUP(RANDBETWEEN(1,3),Tabla1[],2,FALSE)</f>
        <v xml:space="preserve">Sur </v>
      </c>
      <c r="C104">
        <v>2020</v>
      </c>
      <c r="D104" t="str">
        <f ca="1">VLOOKUP(RANDBETWEEN(1,4),Tabla2[],2,FALSE)</f>
        <v>4to Trimestre</v>
      </c>
      <c r="E104" t="str">
        <f ca="1">VLOOKUP(RANDBETWEEN(1,8),Tabla3[],2,FALSE)</f>
        <v>Escáners</v>
      </c>
      <c r="F104" s="15">
        <f ca="1">VLOOKUP(RANDBETWEEN(1,12),Tabla4[],2,FALSE)</f>
        <v>120460</v>
      </c>
      <c r="G104" s="15">
        <f ca="1">Tabladatos[[#This Row],[Ingresos]]*VLOOKUP(RANDBETWEEN(1,10),Tabla5[],2,FALSE)</f>
        <v>96368</v>
      </c>
      <c r="H104" s="15">
        <f ca="1">Tabladatos[[#This Row],[Ingresos]]-Tabladatos[[#This Row],[Costos]]</f>
        <v>24092</v>
      </c>
    </row>
    <row r="105" spans="1:8" ht="22.5" customHeight="1" x14ac:dyDescent="0.25">
      <c r="A105" t="s">
        <v>8</v>
      </c>
      <c r="B105" t="str">
        <f ca="1">VLOOKUP(RANDBETWEEN(1,3),Tabla1[],2,FALSE)</f>
        <v xml:space="preserve">Sur </v>
      </c>
      <c r="C105">
        <v>2020</v>
      </c>
      <c r="D105" t="str">
        <f ca="1">VLOOKUP(RANDBETWEEN(1,4),Tabla2[],2,FALSE)</f>
        <v>2do Trimestre</v>
      </c>
      <c r="E105" t="str">
        <f ca="1">VLOOKUP(RANDBETWEEN(1,8),Tabla3[],2,FALSE)</f>
        <v>Escáners</v>
      </c>
      <c r="F105" s="15">
        <f ca="1">VLOOKUP(RANDBETWEEN(1,12),Tabla4[],2,FALSE)</f>
        <v>66150</v>
      </c>
      <c r="G105" s="15">
        <f ca="1">Tabladatos[[#This Row],[Ingresos]]*VLOOKUP(RANDBETWEEN(1,10),Tabla5[],2,FALSE)</f>
        <v>52920</v>
      </c>
      <c r="H105" s="15">
        <f ca="1">Tabladatos[[#This Row],[Ingresos]]-Tabladatos[[#This Row],[Costos]]</f>
        <v>13230</v>
      </c>
    </row>
    <row r="106" spans="1:8" ht="22.5" customHeight="1" x14ac:dyDescent="0.25">
      <c r="A106" t="s">
        <v>8</v>
      </c>
      <c r="B106" t="str">
        <f ca="1">VLOOKUP(RANDBETWEEN(1,3),Tabla1[],2,FALSE)</f>
        <v>Norte</v>
      </c>
      <c r="C106">
        <v>2020</v>
      </c>
      <c r="D106" t="str">
        <f ca="1">VLOOKUP(RANDBETWEEN(1,4),Tabla2[],2,FALSE)</f>
        <v>4to Trimestre</v>
      </c>
      <c r="E106" t="str">
        <f ca="1">VLOOKUP(RANDBETWEEN(1,8),Tabla3[],2,FALSE)</f>
        <v>Escáners</v>
      </c>
      <c r="F106" s="15">
        <f ca="1">VLOOKUP(RANDBETWEEN(1,12),Tabla4[],2,FALSE)</f>
        <v>490000</v>
      </c>
      <c r="G106" s="15">
        <f ca="1">Tabladatos[[#This Row],[Ingresos]]*VLOOKUP(RANDBETWEEN(1,10),Tabla5[],2,FALSE)</f>
        <v>294000</v>
      </c>
      <c r="H106" s="15">
        <f ca="1">Tabladatos[[#This Row],[Ingresos]]-Tabladatos[[#This Row],[Costos]]</f>
        <v>196000</v>
      </c>
    </row>
    <row r="107" spans="1:8" ht="22.5" customHeight="1" x14ac:dyDescent="0.25">
      <c r="A107" t="s">
        <v>8</v>
      </c>
      <c r="B107" t="str">
        <f ca="1">VLOOKUP(RANDBETWEEN(1,3),Tabla1[],2,FALSE)</f>
        <v xml:space="preserve">Sur </v>
      </c>
      <c r="C107">
        <v>2020</v>
      </c>
      <c r="D107" t="str">
        <f ca="1">VLOOKUP(RANDBETWEEN(1,4),Tabla2[],2,FALSE)</f>
        <v>1er Trimestre</v>
      </c>
      <c r="E107" t="str">
        <f ca="1">VLOOKUP(RANDBETWEEN(1,8),Tabla3[],2,FALSE)</f>
        <v>Monitores</v>
      </c>
      <c r="F107" s="15">
        <f ca="1">VLOOKUP(RANDBETWEEN(1,12),Tabla4[],2,FALSE)</f>
        <v>170000</v>
      </c>
      <c r="G107" s="15">
        <f ca="1">Tabladatos[[#This Row],[Ingresos]]*VLOOKUP(RANDBETWEEN(1,10),Tabla5[],2,FALSE)</f>
        <v>85000</v>
      </c>
      <c r="H107" s="15">
        <f ca="1">Tabladatos[[#This Row],[Ingresos]]-Tabladatos[[#This Row],[Costos]]</f>
        <v>85000</v>
      </c>
    </row>
    <row r="108" spans="1:8" ht="22.5" customHeight="1" x14ac:dyDescent="0.25">
      <c r="A108" t="s">
        <v>8</v>
      </c>
      <c r="B108" t="str">
        <f ca="1">VLOOKUP(RANDBETWEEN(1,3),Tabla1[],2,FALSE)</f>
        <v>Norte</v>
      </c>
      <c r="C108">
        <v>2020</v>
      </c>
      <c r="D108" t="str">
        <f ca="1">VLOOKUP(RANDBETWEEN(1,4),Tabla2[],2,FALSE)</f>
        <v>4to Trimestre</v>
      </c>
      <c r="E108" t="str">
        <f ca="1">VLOOKUP(RANDBETWEEN(1,8),Tabla3[],2,FALSE)</f>
        <v>Laptops</v>
      </c>
      <c r="F108" s="15">
        <f ca="1">VLOOKUP(RANDBETWEEN(1,12),Tabla4[],2,FALSE)</f>
        <v>599800</v>
      </c>
      <c r="G108" s="15">
        <f ca="1">Tabladatos[[#This Row],[Ingresos]]*VLOOKUP(RANDBETWEEN(1,10),Tabla5[],2,FALSE)</f>
        <v>239920</v>
      </c>
      <c r="H108" s="15">
        <f ca="1">Tabladatos[[#This Row],[Ingresos]]-Tabladatos[[#This Row],[Costos]]</f>
        <v>359880</v>
      </c>
    </row>
    <row r="109" spans="1:8" ht="22.5" customHeight="1" x14ac:dyDescent="0.25">
      <c r="A109" t="s">
        <v>8</v>
      </c>
      <c r="B109" t="str">
        <f ca="1">VLOOKUP(RANDBETWEEN(1,3),Tabla1[],2,FALSE)</f>
        <v xml:space="preserve">Sur </v>
      </c>
      <c r="C109">
        <v>2020</v>
      </c>
      <c r="D109" t="str">
        <f ca="1">VLOOKUP(RANDBETWEEN(1,4),Tabla2[],2,FALSE)</f>
        <v>2do Trimestre</v>
      </c>
      <c r="E109" t="str">
        <f ca="1">VLOOKUP(RANDBETWEEN(1,8),Tabla3[],2,FALSE)</f>
        <v>Memorias USB</v>
      </c>
      <c r="F109" s="15">
        <f ca="1">VLOOKUP(RANDBETWEEN(1,12),Tabla4[],2,FALSE)</f>
        <v>228990</v>
      </c>
      <c r="G109" s="15">
        <f ca="1">Tabladatos[[#This Row],[Ingresos]]*VLOOKUP(RANDBETWEEN(1,10),Tabla5[],2,FALSE)</f>
        <v>160293</v>
      </c>
      <c r="H109" s="15">
        <f ca="1">Tabladatos[[#This Row],[Ingresos]]-Tabladatos[[#This Row],[Costos]]</f>
        <v>68697</v>
      </c>
    </row>
    <row r="110" spans="1:8" ht="22.5" customHeight="1" x14ac:dyDescent="0.25">
      <c r="A110" t="s">
        <v>8</v>
      </c>
      <c r="B110" t="str">
        <f ca="1">VLOOKUP(RANDBETWEEN(1,3),Tabla1[],2,FALSE)</f>
        <v>Norte</v>
      </c>
      <c r="C110">
        <v>2020</v>
      </c>
      <c r="D110" t="str">
        <f ca="1">VLOOKUP(RANDBETWEEN(1,4),Tabla2[],2,FALSE)</f>
        <v>3er Trimestre</v>
      </c>
      <c r="E110" t="str">
        <f ca="1">VLOOKUP(RANDBETWEEN(1,8),Tabla3[],2,FALSE)</f>
        <v>Computadoras</v>
      </c>
      <c r="F110" s="15">
        <f ca="1">VLOOKUP(RANDBETWEEN(1,12),Tabla4[],2,FALSE)</f>
        <v>599800</v>
      </c>
      <c r="G110" s="15">
        <f ca="1">Tabladatos[[#This Row],[Ingresos]]*VLOOKUP(RANDBETWEEN(1,10),Tabla5[],2,FALSE)</f>
        <v>299900</v>
      </c>
      <c r="H110" s="15">
        <f ca="1">Tabladatos[[#This Row],[Ingresos]]-Tabladatos[[#This Row],[Costos]]</f>
        <v>299900</v>
      </c>
    </row>
    <row r="111" spans="1:8" ht="22.5" customHeight="1" x14ac:dyDescent="0.25">
      <c r="A111" t="s">
        <v>8</v>
      </c>
      <c r="B111" t="str">
        <f ca="1">VLOOKUP(RANDBETWEEN(1,3),Tabla1[],2,FALSE)</f>
        <v>Norte</v>
      </c>
      <c r="C111">
        <v>2020</v>
      </c>
      <c r="D111" t="str">
        <f ca="1">VLOOKUP(RANDBETWEEN(1,4),Tabla2[],2,FALSE)</f>
        <v>4to Trimestre</v>
      </c>
      <c r="E111" t="str">
        <f ca="1">VLOOKUP(RANDBETWEEN(1,8),Tabla3[],2,FALSE)</f>
        <v>Impresoras</v>
      </c>
      <c r="F111" s="15">
        <f ca="1">VLOOKUP(RANDBETWEEN(1,12),Tabla4[],2,FALSE)</f>
        <v>170000</v>
      </c>
      <c r="G111" s="15">
        <f ca="1">Tabladatos[[#This Row],[Ingresos]]*VLOOKUP(RANDBETWEEN(1,10),Tabla5[],2,FALSE)</f>
        <v>42500</v>
      </c>
      <c r="H111" s="15">
        <f ca="1">Tabladatos[[#This Row],[Ingresos]]-Tabladatos[[#This Row],[Costos]]</f>
        <v>127500</v>
      </c>
    </row>
    <row r="112" spans="1:8" ht="22.5" customHeight="1" x14ac:dyDescent="0.25">
      <c r="A112" t="s">
        <v>8</v>
      </c>
      <c r="B112" t="str">
        <f ca="1">VLOOKUP(RANDBETWEEN(1,3),Tabla1[],2,FALSE)</f>
        <v xml:space="preserve">Sur </v>
      </c>
      <c r="C112">
        <v>2020</v>
      </c>
      <c r="D112" t="str">
        <f ca="1">VLOOKUP(RANDBETWEEN(1,4),Tabla2[],2,FALSE)</f>
        <v>2do Trimestre</v>
      </c>
      <c r="E112" t="str">
        <f ca="1">VLOOKUP(RANDBETWEEN(1,8),Tabla3[],2,FALSE)</f>
        <v>Tarjetas Wifi</v>
      </c>
      <c r="F112" s="15">
        <f ca="1">VLOOKUP(RANDBETWEEN(1,12),Tabla4[],2,FALSE)</f>
        <v>66150</v>
      </c>
      <c r="G112" s="15">
        <f ca="1">Tabladatos[[#This Row],[Ingresos]]*VLOOKUP(RANDBETWEEN(1,10),Tabla5[],2,FALSE)</f>
        <v>26460</v>
      </c>
      <c r="H112" s="15">
        <f ca="1">Tabladatos[[#This Row],[Ingresos]]-Tabladatos[[#This Row],[Costos]]</f>
        <v>39690</v>
      </c>
    </row>
    <row r="113" spans="1:8" ht="22.5" customHeight="1" x14ac:dyDescent="0.25">
      <c r="A113" t="s">
        <v>8</v>
      </c>
      <c r="B113" t="str">
        <f ca="1">VLOOKUP(RANDBETWEEN(1,3),Tabla1[],2,FALSE)</f>
        <v xml:space="preserve">Sur </v>
      </c>
      <c r="C113">
        <v>2020</v>
      </c>
      <c r="D113" t="str">
        <f ca="1">VLOOKUP(RANDBETWEEN(1,4),Tabla2[],2,FALSE)</f>
        <v>3er Trimestre</v>
      </c>
      <c r="E113" t="str">
        <f ca="1">VLOOKUP(RANDBETWEEN(1,8),Tabla3[],2,FALSE)</f>
        <v>Escáners</v>
      </c>
      <c r="F113" s="15">
        <f ca="1">VLOOKUP(RANDBETWEEN(1,12),Tabla4[],2,FALSE)</f>
        <v>66150</v>
      </c>
      <c r="G113" s="15">
        <f ca="1">Tabladatos[[#This Row],[Ingresos]]*VLOOKUP(RANDBETWEEN(1,10),Tabla5[],2,FALSE)</f>
        <v>46305</v>
      </c>
      <c r="H113" s="15">
        <f ca="1">Tabladatos[[#This Row],[Ingresos]]-Tabladatos[[#This Row],[Costos]]</f>
        <v>19845</v>
      </c>
    </row>
    <row r="114" spans="1:8" ht="22.5" customHeight="1" x14ac:dyDescent="0.25">
      <c r="A114" t="s">
        <v>8</v>
      </c>
      <c r="B114" t="str">
        <f ca="1">VLOOKUP(RANDBETWEEN(1,3),Tabla1[],2,FALSE)</f>
        <v xml:space="preserve">Sur </v>
      </c>
      <c r="C114">
        <v>2020</v>
      </c>
      <c r="D114" t="str">
        <f ca="1">VLOOKUP(RANDBETWEEN(1,4),Tabla2[],2,FALSE)</f>
        <v>3er Trimestre</v>
      </c>
      <c r="E114" t="str">
        <f ca="1">VLOOKUP(RANDBETWEEN(1,8),Tabla3[],2,FALSE)</f>
        <v>Monitores</v>
      </c>
      <c r="F114" s="15">
        <f ca="1">VLOOKUP(RANDBETWEEN(1,12),Tabla4[],2,FALSE)</f>
        <v>95945</v>
      </c>
      <c r="G114" s="15">
        <f ca="1">Tabladatos[[#This Row],[Ingresos]]*VLOOKUP(RANDBETWEEN(1,10),Tabla5[],2,FALSE)</f>
        <v>67161.5</v>
      </c>
      <c r="H114" s="15">
        <f ca="1">Tabladatos[[#This Row],[Ingresos]]-Tabladatos[[#This Row],[Costos]]</f>
        <v>28783.5</v>
      </c>
    </row>
    <row r="115" spans="1:8" ht="22.5" customHeight="1" x14ac:dyDescent="0.25">
      <c r="A115" t="s">
        <v>8</v>
      </c>
      <c r="B115" t="str">
        <f ca="1">VLOOKUP(RANDBETWEEN(1,3),Tabla1[],2,FALSE)</f>
        <v>Central</v>
      </c>
      <c r="C115">
        <v>2020</v>
      </c>
      <c r="D115" t="str">
        <f ca="1">VLOOKUP(RANDBETWEEN(1,4),Tabla2[],2,FALSE)</f>
        <v>4to Trimestre</v>
      </c>
      <c r="E115" t="str">
        <f ca="1">VLOOKUP(RANDBETWEEN(1,8),Tabla3[],2,FALSE)</f>
        <v>Memorias USB</v>
      </c>
      <c r="F115" s="15">
        <f ca="1">VLOOKUP(RANDBETWEEN(1,12),Tabla4[],2,FALSE)</f>
        <v>170000</v>
      </c>
      <c r="G115" s="15">
        <f ca="1">Tabladatos[[#This Row],[Ingresos]]*VLOOKUP(RANDBETWEEN(1,10),Tabla5[],2,FALSE)</f>
        <v>118999.99999999999</v>
      </c>
      <c r="H115" s="15">
        <f ca="1">Tabladatos[[#This Row],[Ingresos]]-Tabladatos[[#This Row],[Costos]]</f>
        <v>51000.000000000015</v>
      </c>
    </row>
    <row r="116" spans="1:8" ht="22.5" customHeight="1" x14ac:dyDescent="0.25">
      <c r="A116" t="s">
        <v>8</v>
      </c>
      <c r="B116" t="str">
        <f ca="1">VLOOKUP(RANDBETWEEN(1,3),Tabla1[],2,FALSE)</f>
        <v>Norte</v>
      </c>
      <c r="C116">
        <v>2020</v>
      </c>
      <c r="D116" t="str">
        <f ca="1">VLOOKUP(RANDBETWEEN(1,4),Tabla2[],2,FALSE)</f>
        <v>3er Trimestre</v>
      </c>
      <c r="E116" t="str">
        <f ca="1">VLOOKUP(RANDBETWEEN(1,8),Tabla3[],2,FALSE)</f>
        <v>Monitores</v>
      </c>
      <c r="F116" s="15">
        <f ca="1">VLOOKUP(RANDBETWEEN(1,12),Tabla4[],2,FALSE)</f>
        <v>599800</v>
      </c>
      <c r="G116" s="15">
        <f ca="1">Tabladatos[[#This Row],[Ingresos]]*VLOOKUP(RANDBETWEEN(1,10),Tabla5[],2,FALSE)</f>
        <v>89970</v>
      </c>
      <c r="H116" s="15">
        <f ca="1">Tabladatos[[#This Row],[Ingresos]]-Tabladatos[[#This Row],[Costos]]</f>
        <v>509830</v>
      </c>
    </row>
    <row r="117" spans="1:8" ht="22.5" customHeight="1" x14ac:dyDescent="0.25">
      <c r="A117" t="s">
        <v>8</v>
      </c>
      <c r="B117" t="str">
        <f ca="1">VLOOKUP(RANDBETWEEN(1,3),Tabla1[],2,FALSE)</f>
        <v>Norte</v>
      </c>
      <c r="C117">
        <v>2020</v>
      </c>
      <c r="D117" t="str">
        <f ca="1">VLOOKUP(RANDBETWEEN(1,4),Tabla2[],2,FALSE)</f>
        <v>3er Trimestre</v>
      </c>
      <c r="E117" t="str">
        <f ca="1">VLOOKUP(RANDBETWEEN(1,8),Tabla3[],2,FALSE)</f>
        <v>Escáners</v>
      </c>
      <c r="F117" s="15">
        <f ca="1">VLOOKUP(RANDBETWEEN(1,12),Tabla4[],2,FALSE)</f>
        <v>300000</v>
      </c>
      <c r="G117" s="15">
        <f ca="1">Tabladatos[[#This Row],[Ingresos]]*VLOOKUP(RANDBETWEEN(1,10),Tabla5[],2,FALSE)</f>
        <v>30000</v>
      </c>
      <c r="H117" s="15">
        <f ca="1">Tabladatos[[#This Row],[Ingresos]]-Tabladatos[[#This Row],[Costos]]</f>
        <v>270000</v>
      </c>
    </row>
    <row r="118" spans="1:8" ht="22.5" customHeight="1" x14ac:dyDescent="0.25">
      <c r="A118" t="s">
        <v>8</v>
      </c>
      <c r="B118" t="str">
        <f ca="1">VLOOKUP(RANDBETWEEN(1,3),Tabla1[],2,FALSE)</f>
        <v>Norte</v>
      </c>
      <c r="C118">
        <v>2020</v>
      </c>
      <c r="D118" t="str">
        <f ca="1">VLOOKUP(RANDBETWEEN(1,4),Tabla2[],2,FALSE)</f>
        <v>1er Trimestre</v>
      </c>
      <c r="E118" t="str">
        <f ca="1">VLOOKUP(RANDBETWEEN(1,8),Tabla3[],2,FALSE)</f>
        <v>Laptops</v>
      </c>
      <c r="F118" s="15">
        <f ca="1">VLOOKUP(RANDBETWEEN(1,12),Tabla4[],2,FALSE)</f>
        <v>365285</v>
      </c>
      <c r="G118" s="15">
        <f ca="1">Tabladatos[[#This Row],[Ingresos]]*VLOOKUP(RANDBETWEEN(1,10),Tabla5[],2,FALSE)</f>
        <v>54792.75</v>
      </c>
      <c r="H118" s="15">
        <f ca="1">Tabladatos[[#This Row],[Ingresos]]-Tabladatos[[#This Row],[Costos]]</f>
        <v>310492.25</v>
      </c>
    </row>
    <row r="119" spans="1:8" ht="22.5" customHeight="1" x14ac:dyDescent="0.25">
      <c r="A119" t="s">
        <v>8</v>
      </c>
      <c r="B119" t="str">
        <f ca="1">VLOOKUP(RANDBETWEEN(1,3),Tabla1[],2,FALSE)</f>
        <v xml:space="preserve">Sur </v>
      </c>
      <c r="C119">
        <v>2020</v>
      </c>
      <c r="D119" t="str">
        <f ca="1">VLOOKUP(RANDBETWEEN(1,4),Tabla2[],2,FALSE)</f>
        <v>3er Trimestre</v>
      </c>
      <c r="E119" t="str">
        <f ca="1">VLOOKUP(RANDBETWEEN(1,8),Tabla3[],2,FALSE)</f>
        <v>Laptops</v>
      </c>
      <c r="F119" s="15">
        <f ca="1">VLOOKUP(RANDBETWEEN(1,12),Tabla4[],2,FALSE)</f>
        <v>365285</v>
      </c>
      <c r="G119" s="15">
        <f ca="1">Tabladatos[[#This Row],[Ingresos]]*VLOOKUP(RANDBETWEEN(1,10),Tabla5[],2,FALSE)</f>
        <v>292228</v>
      </c>
      <c r="H119" s="15">
        <f ca="1">Tabladatos[[#This Row],[Ingresos]]-Tabladatos[[#This Row],[Costos]]</f>
        <v>73057</v>
      </c>
    </row>
    <row r="120" spans="1:8" ht="22.5" customHeight="1" x14ac:dyDescent="0.25">
      <c r="A120" t="s">
        <v>8</v>
      </c>
      <c r="B120" t="str">
        <f ca="1">VLOOKUP(RANDBETWEEN(1,3),Tabla1[],2,FALSE)</f>
        <v xml:space="preserve">Sur </v>
      </c>
      <c r="C120">
        <v>2020</v>
      </c>
      <c r="D120" t="str">
        <f ca="1">VLOOKUP(RANDBETWEEN(1,4),Tabla2[],2,FALSE)</f>
        <v>1er Trimestre</v>
      </c>
      <c r="E120" t="str">
        <f ca="1">VLOOKUP(RANDBETWEEN(1,8),Tabla3[],2,FALSE)</f>
        <v>Computadoras</v>
      </c>
      <c r="F120" s="15">
        <f ca="1">VLOOKUP(RANDBETWEEN(1,12),Tabla4[],2,FALSE)</f>
        <v>599800</v>
      </c>
      <c r="G120" s="15">
        <f ca="1">Tabladatos[[#This Row],[Ingresos]]*VLOOKUP(RANDBETWEEN(1,10),Tabla5[],2,FALSE)</f>
        <v>359880</v>
      </c>
      <c r="H120" s="15">
        <f ca="1">Tabladatos[[#This Row],[Ingresos]]-Tabladatos[[#This Row],[Costos]]</f>
        <v>239920</v>
      </c>
    </row>
    <row r="121" spans="1:8" ht="22.5" customHeight="1" x14ac:dyDescent="0.25">
      <c r="A121" t="s">
        <v>8</v>
      </c>
      <c r="B121" t="str">
        <f ca="1">VLOOKUP(RANDBETWEEN(1,3),Tabla1[],2,FALSE)</f>
        <v>Central</v>
      </c>
      <c r="C121">
        <v>2020</v>
      </c>
      <c r="D121" t="str">
        <f ca="1">VLOOKUP(RANDBETWEEN(1,4),Tabla2[],2,FALSE)</f>
        <v>2do Trimestre</v>
      </c>
      <c r="E121" t="str">
        <f ca="1">VLOOKUP(RANDBETWEEN(1,8),Tabla3[],2,FALSE)</f>
        <v>Memorias USB</v>
      </c>
      <c r="F121" s="15">
        <f ca="1">VLOOKUP(RANDBETWEEN(1,12),Tabla4[],2,FALSE)</f>
        <v>599800</v>
      </c>
      <c r="G121" s="15">
        <f ca="1">Tabladatos[[#This Row],[Ingresos]]*VLOOKUP(RANDBETWEEN(1,10),Tabla5[],2,FALSE)</f>
        <v>89970</v>
      </c>
      <c r="H121" s="15">
        <f ca="1">Tabladatos[[#This Row],[Ingresos]]-Tabladatos[[#This Row],[Costos]]</f>
        <v>509830</v>
      </c>
    </row>
    <row r="122" spans="1:8" ht="22.5" customHeight="1" x14ac:dyDescent="0.25">
      <c r="A122" t="s">
        <v>8</v>
      </c>
      <c r="B122" t="str">
        <f ca="1">VLOOKUP(RANDBETWEEN(1,3),Tabla1[],2,FALSE)</f>
        <v>Central</v>
      </c>
      <c r="C122">
        <v>2020</v>
      </c>
      <c r="D122" t="str">
        <f ca="1">VLOOKUP(RANDBETWEEN(1,4),Tabla2[],2,FALSE)</f>
        <v>4to Trimestre</v>
      </c>
      <c r="E122" t="str">
        <f ca="1">VLOOKUP(RANDBETWEEN(1,8),Tabla3[],2,FALSE)</f>
        <v>Monitores</v>
      </c>
      <c r="F122" s="15">
        <f ca="1">VLOOKUP(RANDBETWEEN(1,12),Tabla4[],2,FALSE)</f>
        <v>27300</v>
      </c>
      <c r="G122" s="15">
        <f ca="1">Tabladatos[[#This Row],[Ingresos]]*VLOOKUP(RANDBETWEEN(1,10),Tabla5[],2,FALSE)</f>
        <v>8190</v>
      </c>
      <c r="H122" s="15">
        <f ca="1">Tabladatos[[#This Row],[Ingresos]]-Tabladatos[[#This Row],[Costos]]</f>
        <v>19110</v>
      </c>
    </row>
    <row r="123" spans="1:8" ht="22.5" customHeight="1" x14ac:dyDescent="0.25">
      <c r="A123" t="s">
        <v>8</v>
      </c>
      <c r="B123" t="str">
        <f ca="1">VLOOKUP(RANDBETWEEN(1,3),Tabla1[],2,FALSE)</f>
        <v xml:space="preserve">Sur </v>
      </c>
      <c r="C123">
        <v>2020</v>
      </c>
      <c r="D123" t="str">
        <f ca="1">VLOOKUP(RANDBETWEEN(1,4),Tabla2[],2,FALSE)</f>
        <v>4to Trimestre</v>
      </c>
      <c r="E123" t="str">
        <f ca="1">VLOOKUP(RANDBETWEEN(1,8),Tabla3[],2,FALSE)</f>
        <v>Computadoras</v>
      </c>
      <c r="F123" s="15">
        <f ca="1">VLOOKUP(RANDBETWEEN(1,12),Tabla4[],2,FALSE)</f>
        <v>66150</v>
      </c>
      <c r="G123" s="15">
        <f ca="1">Tabladatos[[#This Row],[Ingresos]]*VLOOKUP(RANDBETWEEN(1,10),Tabla5[],2,FALSE)</f>
        <v>16537.5</v>
      </c>
      <c r="H123" s="15">
        <f ca="1">Tabladatos[[#This Row],[Ingresos]]-Tabladatos[[#This Row],[Costos]]</f>
        <v>49612.5</v>
      </c>
    </row>
    <row r="124" spans="1:8" ht="22.5" customHeight="1" x14ac:dyDescent="0.25">
      <c r="A124" t="s">
        <v>8</v>
      </c>
      <c r="B124" t="str">
        <f ca="1">VLOOKUP(RANDBETWEEN(1,3),Tabla1[],2,FALSE)</f>
        <v xml:space="preserve">Sur </v>
      </c>
      <c r="C124">
        <v>2020</v>
      </c>
      <c r="D124" t="str">
        <f ca="1">VLOOKUP(RANDBETWEEN(1,4),Tabla2[],2,FALSE)</f>
        <v>4to Trimestre</v>
      </c>
      <c r="E124" t="str">
        <f ca="1">VLOOKUP(RANDBETWEEN(1,8),Tabla3[],2,FALSE)</f>
        <v>Monitores</v>
      </c>
      <c r="F124" s="15">
        <f ca="1">VLOOKUP(RANDBETWEEN(1,12),Tabla4[],2,FALSE)</f>
        <v>535990</v>
      </c>
      <c r="G124" s="15">
        <f ca="1">Tabladatos[[#This Row],[Ingresos]]*VLOOKUP(RANDBETWEEN(1,10),Tabla5[],2,FALSE)</f>
        <v>375193</v>
      </c>
      <c r="H124" s="15">
        <f ca="1">Tabladatos[[#This Row],[Ingresos]]-Tabladatos[[#This Row],[Costos]]</f>
        <v>160797</v>
      </c>
    </row>
    <row r="125" spans="1:8" ht="22.5" customHeight="1" x14ac:dyDescent="0.25">
      <c r="A125" t="s">
        <v>8</v>
      </c>
      <c r="B125" t="str">
        <f ca="1">VLOOKUP(RANDBETWEEN(1,3),Tabla1[],2,FALSE)</f>
        <v>Central</v>
      </c>
      <c r="C125">
        <v>2020</v>
      </c>
      <c r="D125" t="str">
        <f ca="1">VLOOKUP(RANDBETWEEN(1,4),Tabla2[],2,FALSE)</f>
        <v>2do Trimestre</v>
      </c>
      <c r="E125" t="str">
        <f ca="1">VLOOKUP(RANDBETWEEN(1,8),Tabla3[],2,FALSE)</f>
        <v>SSD</v>
      </c>
      <c r="F125" s="15">
        <f ca="1">VLOOKUP(RANDBETWEEN(1,12),Tabla4[],2,FALSE)</f>
        <v>415765</v>
      </c>
      <c r="G125" s="15">
        <f ca="1">Tabladatos[[#This Row],[Ingresos]]*VLOOKUP(RANDBETWEEN(1,10),Tabla5[],2,FALSE)</f>
        <v>41576.5</v>
      </c>
      <c r="H125" s="15">
        <f ca="1">Tabladatos[[#This Row],[Ingresos]]-Tabladatos[[#This Row],[Costos]]</f>
        <v>374188.5</v>
      </c>
    </row>
    <row r="126" spans="1:8" ht="22.5" customHeight="1" x14ac:dyDescent="0.25">
      <c r="A126" t="s">
        <v>8</v>
      </c>
      <c r="B126" t="str">
        <f ca="1">VLOOKUP(RANDBETWEEN(1,3),Tabla1[],2,FALSE)</f>
        <v>Central</v>
      </c>
      <c r="C126">
        <v>2020</v>
      </c>
      <c r="D126" t="str">
        <f ca="1">VLOOKUP(RANDBETWEEN(1,4),Tabla2[],2,FALSE)</f>
        <v>4to Trimestre</v>
      </c>
      <c r="E126" t="str">
        <f ca="1">VLOOKUP(RANDBETWEEN(1,8),Tabla3[],2,FALSE)</f>
        <v>Laptops</v>
      </c>
      <c r="F126" s="15">
        <f ca="1">VLOOKUP(RANDBETWEEN(1,12),Tabla4[],2,FALSE)</f>
        <v>120460</v>
      </c>
      <c r="G126" s="15">
        <f ca="1">Tabladatos[[#This Row],[Ingresos]]*VLOOKUP(RANDBETWEEN(1,10),Tabla5[],2,FALSE)</f>
        <v>12046</v>
      </c>
      <c r="H126" s="15">
        <f ca="1">Tabladatos[[#This Row],[Ingresos]]-Tabladatos[[#This Row],[Costos]]</f>
        <v>108414</v>
      </c>
    </row>
    <row r="127" spans="1:8" ht="22.5" customHeight="1" x14ac:dyDescent="0.25">
      <c r="A127" t="s">
        <v>8</v>
      </c>
      <c r="B127" t="str">
        <f ca="1">VLOOKUP(RANDBETWEEN(1,3),Tabla1[],2,FALSE)</f>
        <v>Central</v>
      </c>
      <c r="C127">
        <v>2020</v>
      </c>
      <c r="D127" t="str">
        <f ca="1">VLOOKUP(RANDBETWEEN(1,4),Tabla2[],2,FALSE)</f>
        <v>1er Trimestre</v>
      </c>
      <c r="E127" t="str">
        <f ca="1">VLOOKUP(RANDBETWEEN(1,8),Tabla3[],2,FALSE)</f>
        <v>Impresoras</v>
      </c>
      <c r="F127" s="15">
        <f ca="1">VLOOKUP(RANDBETWEEN(1,12),Tabla4[],2,FALSE)</f>
        <v>535990</v>
      </c>
      <c r="G127" s="15">
        <f ca="1">Tabladatos[[#This Row],[Ingresos]]*VLOOKUP(RANDBETWEEN(1,10),Tabla5[],2,FALSE)</f>
        <v>80398.5</v>
      </c>
      <c r="H127" s="15">
        <f ca="1">Tabladatos[[#This Row],[Ingresos]]-Tabladatos[[#This Row],[Costos]]</f>
        <v>455591.5</v>
      </c>
    </row>
    <row r="128" spans="1:8" ht="22.5" customHeight="1" x14ac:dyDescent="0.25">
      <c r="A128" t="s">
        <v>8</v>
      </c>
      <c r="B128" t="str">
        <f ca="1">VLOOKUP(RANDBETWEEN(1,3),Tabla1[],2,FALSE)</f>
        <v>Norte</v>
      </c>
      <c r="C128">
        <v>2020</v>
      </c>
      <c r="D128" t="str">
        <f ca="1">VLOOKUP(RANDBETWEEN(1,4),Tabla2[],2,FALSE)</f>
        <v>2do Trimestre</v>
      </c>
      <c r="E128" t="str">
        <f ca="1">VLOOKUP(RANDBETWEEN(1,8),Tabla3[],2,FALSE)</f>
        <v>Escáners</v>
      </c>
      <c r="F128" s="15">
        <f ca="1">VLOOKUP(RANDBETWEEN(1,12),Tabla4[],2,FALSE)</f>
        <v>415765</v>
      </c>
      <c r="G128" s="15">
        <f ca="1">Tabladatos[[#This Row],[Ingresos]]*VLOOKUP(RANDBETWEEN(1,10),Tabla5[],2,FALSE)</f>
        <v>103941.25</v>
      </c>
      <c r="H128" s="15">
        <f ca="1">Tabladatos[[#This Row],[Ingresos]]-Tabladatos[[#This Row],[Costos]]</f>
        <v>311823.75</v>
      </c>
    </row>
    <row r="129" spans="1:8" ht="22.5" customHeight="1" x14ac:dyDescent="0.25">
      <c r="A129" t="s">
        <v>8</v>
      </c>
      <c r="B129" t="str">
        <f ca="1">VLOOKUP(RANDBETWEEN(1,3),Tabla1[],2,FALSE)</f>
        <v>Central</v>
      </c>
      <c r="C129">
        <v>2020</v>
      </c>
      <c r="D129" t="str">
        <f ca="1">VLOOKUP(RANDBETWEEN(1,4),Tabla2[],2,FALSE)</f>
        <v>1er Trimestre</v>
      </c>
      <c r="E129" t="str">
        <f ca="1">VLOOKUP(RANDBETWEEN(1,8),Tabla3[],2,FALSE)</f>
        <v>Impresoras</v>
      </c>
      <c r="F129" s="15">
        <f ca="1">VLOOKUP(RANDBETWEEN(1,12),Tabla4[],2,FALSE)</f>
        <v>535990</v>
      </c>
      <c r="G129" s="15">
        <f ca="1">Tabladatos[[#This Row],[Ingresos]]*VLOOKUP(RANDBETWEEN(1,10),Tabla5[],2,FALSE)</f>
        <v>80398.5</v>
      </c>
      <c r="H129" s="15">
        <f ca="1">Tabladatos[[#This Row],[Ingresos]]-Tabladatos[[#This Row],[Costos]]</f>
        <v>455591.5</v>
      </c>
    </row>
    <row r="130" spans="1:8" ht="22.5" customHeight="1" x14ac:dyDescent="0.25">
      <c r="A130" t="s">
        <v>8</v>
      </c>
      <c r="B130" t="str">
        <f ca="1">VLOOKUP(RANDBETWEEN(1,3),Tabla1[],2,FALSE)</f>
        <v>Norte</v>
      </c>
      <c r="C130">
        <v>2020</v>
      </c>
      <c r="D130" t="str">
        <f ca="1">VLOOKUP(RANDBETWEEN(1,4),Tabla2[],2,FALSE)</f>
        <v>1er Trimestre</v>
      </c>
      <c r="E130" t="str">
        <f ca="1">VLOOKUP(RANDBETWEEN(1,8),Tabla3[],2,FALSE)</f>
        <v>Memorias USB</v>
      </c>
      <c r="F130" s="15">
        <f ca="1">VLOOKUP(RANDBETWEEN(1,12),Tabla4[],2,FALSE)</f>
        <v>66150</v>
      </c>
      <c r="G130" s="15">
        <f ca="1">Tabladatos[[#This Row],[Ingresos]]*VLOOKUP(RANDBETWEEN(1,10),Tabla5[],2,FALSE)</f>
        <v>46305</v>
      </c>
      <c r="H130" s="15">
        <f ca="1">Tabladatos[[#This Row],[Ingresos]]-Tabladatos[[#This Row],[Costos]]</f>
        <v>19845</v>
      </c>
    </row>
    <row r="131" spans="1:8" ht="22.5" customHeight="1" x14ac:dyDescent="0.25">
      <c r="A131" t="s">
        <v>8</v>
      </c>
      <c r="B131" t="str">
        <f ca="1">VLOOKUP(RANDBETWEEN(1,3),Tabla1[],2,FALSE)</f>
        <v xml:space="preserve">Sur </v>
      </c>
      <c r="C131">
        <v>2020</v>
      </c>
      <c r="D131" t="str">
        <f ca="1">VLOOKUP(RANDBETWEEN(1,4),Tabla2[],2,FALSE)</f>
        <v>4to Trimestre</v>
      </c>
      <c r="E131" t="str">
        <f ca="1">VLOOKUP(RANDBETWEEN(1,8),Tabla3[],2,FALSE)</f>
        <v>SSD</v>
      </c>
      <c r="F131" s="15">
        <f ca="1">VLOOKUP(RANDBETWEEN(1,12),Tabla4[],2,FALSE)</f>
        <v>120460</v>
      </c>
      <c r="G131" s="15">
        <f ca="1">Tabladatos[[#This Row],[Ingresos]]*VLOOKUP(RANDBETWEEN(1,10),Tabla5[],2,FALSE)</f>
        <v>48184</v>
      </c>
      <c r="H131" s="15">
        <f ca="1">Tabladatos[[#This Row],[Ingresos]]-Tabladatos[[#This Row],[Costos]]</f>
        <v>72276</v>
      </c>
    </row>
    <row r="132" spans="1:8" ht="22.5" customHeight="1" x14ac:dyDescent="0.25">
      <c r="A132" t="s">
        <v>8</v>
      </c>
      <c r="B132" t="str">
        <f ca="1">VLOOKUP(RANDBETWEEN(1,3),Tabla1[],2,FALSE)</f>
        <v>Central</v>
      </c>
      <c r="C132">
        <v>2020</v>
      </c>
      <c r="D132" t="str">
        <f ca="1">VLOOKUP(RANDBETWEEN(1,4),Tabla2[],2,FALSE)</f>
        <v>4to Trimestre</v>
      </c>
      <c r="E132" t="str">
        <f ca="1">VLOOKUP(RANDBETWEEN(1,8),Tabla3[],2,FALSE)</f>
        <v>Escáners</v>
      </c>
      <c r="F132" s="15">
        <f ca="1">VLOOKUP(RANDBETWEEN(1,12),Tabla4[],2,FALSE)</f>
        <v>535990</v>
      </c>
      <c r="G132" s="15">
        <f ca="1">Tabladatos[[#This Row],[Ingresos]]*VLOOKUP(RANDBETWEEN(1,10),Tabla5[],2,FALSE)</f>
        <v>267995</v>
      </c>
      <c r="H132" s="15">
        <f ca="1">Tabladatos[[#This Row],[Ingresos]]-Tabladatos[[#This Row],[Costos]]</f>
        <v>267995</v>
      </c>
    </row>
    <row r="133" spans="1:8" ht="22.5" customHeight="1" x14ac:dyDescent="0.25">
      <c r="A133" t="s">
        <v>8</v>
      </c>
      <c r="B133" t="str">
        <f ca="1">VLOOKUP(RANDBETWEEN(1,3),Tabla1[],2,FALSE)</f>
        <v>Central</v>
      </c>
      <c r="C133">
        <v>2020</v>
      </c>
      <c r="D133" t="str">
        <f ca="1">VLOOKUP(RANDBETWEEN(1,4),Tabla2[],2,FALSE)</f>
        <v>1er Trimestre</v>
      </c>
      <c r="E133" t="str">
        <f ca="1">VLOOKUP(RANDBETWEEN(1,8),Tabla3[],2,FALSE)</f>
        <v>Monitores</v>
      </c>
      <c r="F133" s="15">
        <f ca="1">VLOOKUP(RANDBETWEEN(1,12),Tabla4[],2,FALSE)</f>
        <v>490000</v>
      </c>
      <c r="G133" s="15">
        <f ca="1">Tabladatos[[#This Row],[Ingresos]]*VLOOKUP(RANDBETWEEN(1,10),Tabla5[],2,FALSE)</f>
        <v>147000</v>
      </c>
      <c r="H133" s="15">
        <f ca="1">Tabladatos[[#This Row],[Ingresos]]-Tabladatos[[#This Row],[Costos]]</f>
        <v>343000</v>
      </c>
    </row>
    <row r="134" spans="1:8" ht="22.5" customHeight="1" x14ac:dyDescent="0.25">
      <c r="A134" t="s">
        <v>8</v>
      </c>
      <c r="B134" t="str">
        <f ca="1">VLOOKUP(RANDBETWEEN(1,3),Tabla1[],2,FALSE)</f>
        <v>Norte</v>
      </c>
      <c r="C134">
        <v>2020</v>
      </c>
      <c r="D134" t="str">
        <f ca="1">VLOOKUP(RANDBETWEEN(1,4),Tabla2[],2,FALSE)</f>
        <v>1er Trimestre</v>
      </c>
      <c r="E134" t="str">
        <f ca="1">VLOOKUP(RANDBETWEEN(1,8),Tabla3[],2,FALSE)</f>
        <v>Escáners</v>
      </c>
      <c r="F134" s="15">
        <f ca="1">VLOOKUP(RANDBETWEEN(1,12),Tabla4[],2,FALSE)</f>
        <v>170000</v>
      </c>
      <c r="G134" s="15">
        <f ca="1">Tabladatos[[#This Row],[Ingresos]]*VLOOKUP(RANDBETWEEN(1,10),Tabla5[],2,FALSE)</f>
        <v>42500</v>
      </c>
      <c r="H134" s="15">
        <f ca="1">Tabladatos[[#This Row],[Ingresos]]-Tabladatos[[#This Row],[Costos]]</f>
        <v>127500</v>
      </c>
    </row>
    <row r="135" spans="1:8" ht="22.5" customHeight="1" x14ac:dyDescent="0.25">
      <c r="A135" t="s">
        <v>9</v>
      </c>
      <c r="B135" t="str">
        <f ca="1">VLOOKUP(RANDBETWEEN(1,3),Tabla1[],2,FALSE)</f>
        <v>Central</v>
      </c>
      <c r="C135">
        <v>2020</v>
      </c>
      <c r="D135" t="str">
        <f ca="1">VLOOKUP(RANDBETWEEN(1,4),Tabla2[],2,FALSE)</f>
        <v>3er Trimestre</v>
      </c>
      <c r="E135" t="str">
        <f ca="1">VLOOKUP(RANDBETWEEN(1,8),Tabla3[],2,FALSE)</f>
        <v>Escáners</v>
      </c>
      <c r="F135" s="15">
        <f ca="1">VLOOKUP(RANDBETWEEN(1,12),Tabla4[],2,FALSE)</f>
        <v>415765</v>
      </c>
      <c r="G135" s="15">
        <f ca="1">Tabladatos[[#This Row],[Ingresos]]*VLOOKUP(RANDBETWEEN(1,10),Tabla5[],2,FALSE)</f>
        <v>249459</v>
      </c>
      <c r="H135" s="15">
        <f ca="1">Tabladatos[[#This Row],[Ingresos]]-Tabladatos[[#This Row],[Costos]]</f>
        <v>166306</v>
      </c>
    </row>
    <row r="136" spans="1:8" ht="22.5" customHeight="1" x14ac:dyDescent="0.25">
      <c r="A136" t="s">
        <v>9</v>
      </c>
      <c r="B136" t="str">
        <f ca="1">VLOOKUP(RANDBETWEEN(1,3),Tabla1[],2,FALSE)</f>
        <v xml:space="preserve">Sur </v>
      </c>
      <c r="C136">
        <v>2020</v>
      </c>
      <c r="D136" t="str">
        <f ca="1">VLOOKUP(RANDBETWEEN(1,4),Tabla2[],2,FALSE)</f>
        <v>4to Trimestre</v>
      </c>
      <c r="E136" t="str">
        <f ca="1">VLOOKUP(RANDBETWEEN(1,8),Tabla3[],2,FALSE)</f>
        <v>SSD</v>
      </c>
      <c r="F136" s="15">
        <f ca="1">VLOOKUP(RANDBETWEEN(1,12),Tabla4[],2,FALSE)</f>
        <v>415765</v>
      </c>
      <c r="G136" s="15">
        <f ca="1">Tabladatos[[#This Row],[Ingresos]]*VLOOKUP(RANDBETWEEN(1,10),Tabla5[],2,FALSE)</f>
        <v>207882.5</v>
      </c>
      <c r="H136" s="15">
        <f ca="1">Tabladatos[[#This Row],[Ingresos]]-Tabladatos[[#This Row],[Costos]]</f>
        <v>207882.5</v>
      </c>
    </row>
    <row r="137" spans="1:8" ht="22.5" customHeight="1" x14ac:dyDescent="0.25">
      <c r="A137" t="s">
        <v>9</v>
      </c>
      <c r="B137" t="str">
        <f ca="1">VLOOKUP(RANDBETWEEN(1,3),Tabla1[],2,FALSE)</f>
        <v xml:space="preserve">Sur </v>
      </c>
      <c r="C137">
        <v>2020</v>
      </c>
      <c r="D137" t="str">
        <f ca="1">VLOOKUP(RANDBETWEEN(1,4),Tabla2[],2,FALSE)</f>
        <v>2do Trimestre</v>
      </c>
      <c r="E137" t="str">
        <f ca="1">VLOOKUP(RANDBETWEEN(1,8),Tabla3[],2,FALSE)</f>
        <v>Laptops</v>
      </c>
      <c r="F137" s="15">
        <f ca="1">VLOOKUP(RANDBETWEEN(1,12),Tabla4[],2,FALSE)</f>
        <v>228990</v>
      </c>
      <c r="G137" s="15">
        <f ca="1">Tabladatos[[#This Row],[Ingresos]]*VLOOKUP(RANDBETWEEN(1,10),Tabla5[],2,FALSE)</f>
        <v>183192</v>
      </c>
      <c r="H137" s="15">
        <f ca="1">Tabladatos[[#This Row],[Ingresos]]-Tabladatos[[#This Row],[Costos]]</f>
        <v>45798</v>
      </c>
    </row>
    <row r="138" spans="1:8" ht="22.5" customHeight="1" x14ac:dyDescent="0.25">
      <c r="A138" t="s">
        <v>9</v>
      </c>
      <c r="B138" t="str">
        <f ca="1">VLOOKUP(RANDBETWEEN(1,3),Tabla1[],2,FALSE)</f>
        <v>Central</v>
      </c>
      <c r="C138">
        <v>2020</v>
      </c>
      <c r="D138" t="str">
        <f ca="1">VLOOKUP(RANDBETWEEN(1,4),Tabla2[],2,FALSE)</f>
        <v>4to Trimestre</v>
      </c>
      <c r="E138" t="str">
        <f ca="1">VLOOKUP(RANDBETWEEN(1,8),Tabla3[],2,FALSE)</f>
        <v>Escáners</v>
      </c>
      <c r="F138" s="15">
        <f ca="1">VLOOKUP(RANDBETWEEN(1,12),Tabla4[],2,FALSE)</f>
        <v>599800</v>
      </c>
      <c r="G138" s="15">
        <f ca="1">Tabladatos[[#This Row],[Ingresos]]*VLOOKUP(RANDBETWEEN(1,10),Tabla5[],2,FALSE)</f>
        <v>179940</v>
      </c>
      <c r="H138" s="15">
        <f ca="1">Tabladatos[[#This Row],[Ingresos]]-Tabladatos[[#This Row],[Costos]]</f>
        <v>419860</v>
      </c>
    </row>
    <row r="139" spans="1:8" ht="22.5" customHeight="1" x14ac:dyDescent="0.25">
      <c r="A139" t="s">
        <v>9</v>
      </c>
      <c r="B139" t="str">
        <f ca="1">VLOOKUP(RANDBETWEEN(1,3),Tabla1[],2,FALSE)</f>
        <v>Norte</v>
      </c>
      <c r="C139">
        <v>2020</v>
      </c>
      <c r="D139" t="str">
        <f ca="1">VLOOKUP(RANDBETWEEN(1,4),Tabla2[],2,FALSE)</f>
        <v>2do Trimestre</v>
      </c>
      <c r="E139" t="str">
        <f ca="1">VLOOKUP(RANDBETWEEN(1,8),Tabla3[],2,FALSE)</f>
        <v>Monitores</v>
      </c>
      <c r="F139" s="15">
        <f ca="1">VLOOKUP(RANDBETWEEN(1,12),Tabla4[],2,FALSE)</f>
        <v>415765</v>
      </c>
      <c r="G139" s="15">
        <f ca="1">Tabladatos[[#This Row],[Ingresos]]*VLOOKUP(RANDBETWEEN(1,10),Tabla5[],2,FALSE)</f>
        <v>166306</v>
      </c>
      <c r="H139" s="15">
        <f ca="1">Tabladatos[[#This Row],[Ingresos]]-Tabladatos[[#This Row],[Costos]]</f>
        <v>249459</v>
      </c>
    </row>
    <row r="140" spans="1:8" ht="22.5" customHeight="1" x14ac:dyDescent="0.25">
      <c r="A140" t="s">
        <v>9</v>
      </c>
      <c r="B140" t="str">
        <f ca="1">VLOOKUP(RANDBETWEEN(1,3),Tabla1[],2,FALSE)</f>
        <v>Norte</v>
      </c>
      <c r="C140">
        <v>2020</v>
      </c>
      <c r="D140" t="str">
        <f ca="1">VLOOKUP(RANDBETWEEN(1,4),Tabla2[],2,FALSE)</f>
        <v>2do Trimestre</v>
      </c>
      <c r="E140" t="str">
        <f ca="1">VLOOKUP(RANDBETWEEN(1,8),Tabla3[],2,FALSE)</f>
        <v>Monitores</v>
      </c>
      <c r="F140" s="15">
        <f ca="1">VLOOKUP(RANDBETWEEN(1,12),Tabla4[],2,FALSE)</f>
        <v>95945</v>
      </c>
      <c r="G140" s="15">
        <f ca="1">Tabladatos[[#This Row],[Ingresos]]*VLOOKUP(RANDBETWEEN(1,10),Tabla5[],2,FALSE)</f>
        <v>28783.5</v>
      </c>
      <c r="H140" s="15">
        <f ca="1">Tabladatos[[#This Row],[Ingresos]]-Tabladatos[[#This Row],[Costos]]</f>
        <v>67161.5</v>
      </c>
    </row>
    <row r="141" spans="1:8" ht="22.5" customHeight="1" x14ac:dyDescent="0.25">
      <c r="A141" t="s">
        <v>9</v>
      </c>
      <c r="B141" t="str">
        <f ca="1">VLOOKUP(RANDBETWEEN(1,3),Tabla1[],2,FALSE)</f>
        <v>Norte</v>
      </c>
      <c r="C141">
        <v>2020</v>
      </c>
      <c r="D141" t="str">
        <f ca="1">VLOOKUP(RANDBETWEEN(1,4),Tabla2[],2,FALSE)</f>
        <v>1er Trimestre</v>
      </c>
      <c r="E141" t="str">
        <f ca="1">VLOOKUP(RANDBETWEEN(1,8),Tabla3[],2,FALSE)</f>
        <v>Impresoras</v>
      </c>
      <c r="F141" s="15">
        <f ca="1">VLOOKUP(RANDBETWEEN(1,12),Tabla4[],2,FALSE)</f>
        <v>170000</v>
      </c>
      <c r="G141" s="15">
        <f ca="1">Tabladatos[[#This Row],[Ingresos]]*VLOOKUP(RANDBETWEEN(1,10),Tabla5[],2,FALSE)</f>
        <v>118999.99999999999</v>
      </c>
      <c r="H141" s="15">
        <f ca="1">Tabladatos[[#This Row],[Ingresos]]-Tabladatos[[#This Row],[Costos]]</f>
        <v>51000.000000000015</v>
      </c>
    </row>
    <row r="142" spans="1:8" ht="22.5" customHeight="1" x14ac:dyDescent="0.25">
      <c r="A142" t="s">
        <v>9</v>
      </c>
      <c r="B142" t="str">
        <f ca="1">VLOOKUP(RANDBETWEEN(1,3),Tabla1[],2,FALSE)</f>
        <v>Central</v>
      </c>
      <c r="C142">
        <v>2020</v>
      </c>
      <c r="D142" t="str">
        <f ca="1">VLOOKUP(RANDBETWEEN(1,4),Tabla2[],2,FALSE)</f>
        <v>4to Trimestre</v>
      </c>
      <c r="E142" t="str">
        <f ca="1">VLOOKUP(RANDBETWEEN(1,8),Tabla3[],2,FALSE)</f>
        <v>Tarjetas Wifi</v>
      </c>
      <c r="F142" s="15">
        <f ca="1">VLOOKUP(RANDBETWEEN(1,12),Tabla4[],2,FALSE)</f>
        <v>599800</v>
      </c>
      <c r="G142" s="15">
        <f ca="1">Tabladatos[[#This Row],[Ingresos]]*VLOOKUP(RANDBETWEEN(1,10),Tabla5[],2,FALSE)</f>
        <v>179940</v>
      </c>
      <c r="H142" s="15">
        <f ca="1">Tabladatos[[#This Row],[Ingresos]]-Tabladatos[[#This Row],[Costos]]</f>
        <v>419860</v>
      </c>
    </row>
    <row r="143" spans="1:8" ht="22.5" customHeight="1" x14ac:dyDescent="0.25">
      <c r="A143" t="s">
        <v>9</v>
      </c>
      <c r="B143" t="str">
        <f ca="1">VLOOKUP(RANDBETWEEN(1,3),Tabla1[],2,FALSE)</f>
        <v>Norte</v>
      </c>
      <c r="C143">
        <v>2020</v>
      </c>
      <c r="D143" t="str">
        <f ca="1">VLOOKUP(RANDBETWEEN(1,4),Tabla2[],2,FALSE)</f>
        <v>1er Trimestre</v>
      </c>
      <c r="E143" t="str">
        <f ca="1">VLOOKUP(RANDBETWEEN(1,8),Tabla3[],2,FALSE)</f>
        <v>Tarjetas Wifi</v>
      </c>
      <c r="F143" s="15">
        <f ca="1">VLOOKUP(RANDBETWEEN(1,12),Tabla4[],2,FALSE)</f>
        <v>365285</v>
      </c>
      <c r="G143" s="15">
        <f ca="1">Tabladatos[[#This Row],[Ingresos]]*VLOOKUP(RANDBETWEEN(1,10),Tabla5[],2,FALSE)</f>
        <v>292228</v>
      </c>
      <c r="H143" s="15">
        <f ca="1">Tabladatos[[#This Row],[Ingresos]]-Tabladatos[[#This Row],[Costos]]</f>
        <v>73057</v>
      </c>
    </row>
    <row r="144" spans="1:8" ht="22.5" customHeight="1" x14ac:dyDescent="0.25">
      <c r="A144" t="s">
        <v>9</v>
      </c>
      <c r="B144" t="str">
        <f ca="1">VLOOKUP(RANDBETWEEN(1,3),Tabla1[],2,FALSE)</f>
        <v>Central</v>
      </c>
      <c r="C144">
        <v>2020</v>
      </c>
      <c r="D144" t="str">
        <f ca="1">VLOOKUP(RANDBETWEEN(1,4),Tabla2[],2,FALSE)</f>
        <v>1er Trimestre</v>
      </c>
      <c r="E144" t="str">
        <f ca="1">VLOOKUP(RANDBETWEEN(1,8),Tabla3[],2,FALSE)</f>
        <v>Computadoras</v>
      </c>
      <c r="F144" s="15">
        <f ca="1">VLOOKUP(RANDBETWEEN(1,12),Tabla4[],2,FALSE)</f>
        <v>120460</v>
      </c>
      <c r="G144" s="15">
        <f ca="1">Tabladatos[[#This Row],[Ingresos]]*VLOOKUP(RANDBETWEEN(1,10),Tabla5[],2,FALSE)</f>
        <v>36138</v>
      </c>
      <c r="H144" s="15">
        <f ca="1">Tabladatos[[#This Row],[Ingresos]]-Tabladatos[[#This Row],[Costos]]</f>
        <v>84322</v>
      </c>
    </row>
    <row r="145" spans="1:8" ht="22.5" customHeight="1" x14ac:dyDescent="0.25">
      <c r="A145" t="s">
        <v>9</v>
      </c>
      <c r="B145" t="str">
        <f ca="1">VLOOKUP(RANDBETWEEN(1,3),Tabla1[],2,FALSE)</f>
        <v xml:space="preserve">Sur </v>
      </c>
      <c r="C145">
        <v>2020</v>
      </c>
      <c r="D145" t="str">
        <f ca="1">VLOOKUP(RANDBETWEEN(1,4),Tabla2[],2,FALSE)</f>
        <v>3er Trimestre</v>
      </c>
      <c r="E145" t="str">
        <f ca="1">VLOOKUP(RANDBETWEEN(1,8),Tabla3[],2,FALSE)</f>
        <v>Monitores</v>
      </c>
      <c r="F145" s="15">
        <f ca="1">VLOOKUP(RANDBETWEEN(1,12),Tabla4[],2,FALSE)</f>
        <v>490000</v>
      </c>
      <c r="G145" s="15">
        <f ca="1">Tabladatos[[#This Row],[Ingresos]]*VLOOKUP(RANDBETWEEN(1,10),Tabla5[],2,FALSE)</f>
        <v>294000</v>
      </c>
      <c r="H145" s="15">
        <f ca="1">Tabladatos[[#This Row],[Ingresos]]-Tabladatos[[#This Row],[Costos]]</f>
        <v>196000</v>
      </c>
    </row>
    <row r="146" spans="1:8" ht="22.5" customHeight="1" x14ac:dyDescent="0.25">
      <c r="A146" t="s">
        <v>9</v>
      </c>
      <c r="B146" t="str">
        <f ca="1">VLOOKUP(RANDBETWEEN(1,3),Tabla1[],2,FALSE)</f>
        <v>Central</v>
      </c>
      <c r="C146">
        <v>2020</v>
      </c>
      <c r="D146" t="str">
        <f ca="1">VLOOKUP(RANDBETWEEN(1,4),Tabla2[],2,FALSE)</f>
        <v>4to Trimestre</v>
      </c>
      <c r="E146" t="str">
        <f ca="1">VLOOKUP(RANDBETWEEN(1,8),Tabla3[],2,FALSE)</f>
        <v>Laptops</v>
      </c>
      <c r="F146" s="15">
        <f ca="1">VLOOKUP(RANDBETWEEN(1,12),Tabla4[],2,FALSE)</f>
        <v>415765</v>
      </c>
      <c r="G146" s="15">
        <f ca="1">Tabladatos[[#This Row],[Ingresos]]*VLOOKUP(RANDBETWEEN(1,10),Tabla5[],2,FALSE)</f>
        <v>103941.25</v>
      </c>
      <c r="H146" s="15">
        <f ca="1">Tabladatos[[#This Row],[Ingresos]]-Tabladatos[[#This Row],[Costos]]</f>
        <v>311823.75</v>
      </c>
    </row>
    <row r="147" spans="1:8" ht="22.5" customHeight="1" x14ac:dyDescent="0.25">
      <c r="A147" t="s">
        <v>9</v>
      </c>
      <c r="B147" t="str">
        <f ca="1">VLOOKUP(RANDBETWEEN(1,3),Tabla1[],2,FALSE)</f>
        <v>Norte</v>
      </c>
      <c r="C147">
        <v>2020</v>
      </c>
      <c r="D147" t="str">
        <f ca="1">VLOOKUP(RANDBETWEEN(1,4),Tabla2[],2,FALSE)</f>
        <v>1er Trimestre</v>
      </c>
      <c r="E147" t="str">
        <f ca="1">VLOOKUP(RANDBETWEEN(1,8),Tabla3[],2,FALSE)</f>
        <v>Escáners</v>
      </c>
      <c r="F147" s="15">
        <f ca="1">VLOOKUP(RANDBETWEEN(1,12),Tabla4[],2,FALSE)</f>
        <v>170000</v>
      </c>
      <c r="G147" s="15">
        <f ca="1">Tabladatos[[#This Row],[Ingresos]]*VLOOKUP(RANDBETWEEN(1,10),Tabla5[],2,FALSE)</f>
        <v>17000</v>
      </c>
      <c r="H147" s="15">
        <f ca="1">Tabladatos[[#This Row],[Ingresos]]-Tabladatos[[#This Row],[Costos]]</f>
        <v>153000</v>
      </c>
    </row>
    <row r="148" spans="1:8" ht="22.5" customHeight="1" x14ac:dyDescent="0.25">
      <c r="A148" t="s">
        <v>9</v>
      </c>
      <c r="B148" t="str">
        <f ca="1">VLOOKUP(RANDBETWEEN(1,3),Tabla1[],2,FALSE)</f>
        <v xml:space="preserve">Sur </v>
      </c>
      <c r="C148">
        <v>2020</v>
      </c>
      <c r="D148" t="str">
        <f ca="1">VLOOKUP(RANDBETWEEN(1,4),Tabla2[],2,FALSE)</f>
        <v>4to Trimestre</v>
      </c>
      <c r="E148" t="str">
        <f ca="1">VLOOKUP(RANDBETWEEN(1,8),Tabla3[],2,FALSE)</f>
        <v>Monitores</v>
      </c>
      <c r="F148" s="15">
        <f ca="1">VLOOKUP(RANDBETWEEN(1,12),Tabla4[],2,FALSE)</f>
        <v>535990</v>
      </c>
      <c r="G148" s="15">
        <f ca="1">Tabladatos[[#This Row],[Ingresos]]*VLOOKUP(RANDBETWEEN(1,10),Tabla5[],2,FALSE)</f>
        <v>375193</v>
      </c>
      <c r="H148" s="15">
        <f ca="1">Tabladatos[[#This Row],[Ingresos]]-Tabladatos[[#This Row],[Costos]]</f>
        <v>160797</v>
      </c>
    </row>
    <row r="149" spans="1:8" ht="22.5" customHeight="1" x14ac:dyDescent="0.25">
      <c r="A149" t="s">
        <v>9</v>
      </c>
      <c r="B149" t="str">
        <f ca="1">VLOOKUP(RANDBETWEEN(1,3),Tabla1[],2,FALSE)</f>
        <v xml:space="preserve">Sur </v>
      </c>
      <c r="C149">
        <v>2020</v>
      </c>
      <c r="D149" t="str">
        <f ca="1">VLOOKUP(RANDBETWEEN(1,4),Tabla2[],2,FALSE)</f>
        <v>1er Trimestre</v>
      </c>
      <c r="E149" t="str">
        <f ca="1">VLOOKUP(RANDBETWEEN(1,8),Tabla3[],2,FALSE)</f>
        <v>SSD</v>
      </c>
      <c r="F149" s="15">
        <f ca="1">VLOOKUP(RANDBETWEEN(1,12),Tabla4[],2,FALSE)</f>
        <v>66150</v>
      </c>
      <c r="G149" s="15">
        <f ca="1">Tabladatos[[#This Row],[Ingresos]]*VLOOKUP(RANDBETWEEN(1,10),Tabla5[],2,FALSE)</f>
        <v>6615</v>
      </c>
      <c r="H149" s="15">
        <f ca="1">Tabladatos[[#This Row],[Ingresos]]-Tabladatos[[#This Row],[Costos]]</f>
        <v>59535</v>
      </c>
    </row>
    <row r="150" spans="1:8" ht="22.5" customHeight="1" x14ac:dyDescent="0.25">
      <c r="A150" t="s">
        <v>9</v>
      </c>
      <c r="B150" t="str">
        <f ca="1">VLOOKUP(RANDBETWEEN(1,3),Tabla1[],2,FALSE)</f>
        <v>Central</v>
      </c>
      <c r="C150">
        <v>2020</v>
      </c>
      <c r="D150" t="str">
        <f ca="1">VLOOKUP(RANDBETWEEN(1,4),Tabla2[],2,FALSE)</f>
        <v>2do Trimestre</v>
      </c>
      <c r="E150" t="str">
        <f ca="1">VLOOKUP(RANDBETWEEN(1,8),Tabla3[],2,FALSE)</f>
        <v>Computadoras</v>
      </c>
      <c r="F150" s="15">
        <f ca="1">VLOOKUP(RANDBETWEEN(1,12),Tabla4[],2,FALSE)</f>
        <v>490000</v>
      </c>
      <c r="G150" s="15">
        <f ca="1">Tabladatos[[#This Row],[Ingresos]]*VLOOKUP(RANDBETWEEN(1,10),Tabla5[],2,FALSE)</f>
        <v>147000</v>
      </c>
      <c r="H150" s="15">
        <f ca="1">Tabladatos[[#This Row],[Ingresos]]-Tabladatos[[#This Row],[Costos]]</f>
        <v>343000</v>
      </c>
    </row>
    <row r="151" spans="1:8" ht="22.5" customHeight="1" x14ac:dyDescent="0.25">
      <c r="A151" t="s">
        <v>9</v>
      </c>
      <c r="B151" t="str">
        <f ca="1">VLOOKUP(RANDBETWEEN(1,3),Tabla1[],2,FALSE)</f>
        <v>Norte</v>
      </c>
      <c r="C151">
        <v>2020</v>
      </c>
      <c r="D151" t="str">
        <f ca="1">VLOOKUP(RANDBETWEEN(1,4),Tabla2[],2,FALSE)</f>
        <v>4to Trimestre</v>
      </c>
      <c r="E151" t="str">
        <f ca="1">VLOOKUP(RANDBETWEEN(1,8),Tabla3[],2,FALSE)</f>
        <v>Memorias USB</v>
      </c>
      <c r="F151" s="15">
        <f ca="1">VLOOKUP(RANDBETWEEN(1,12),Tabla4[],2,FALSE)</f>
        <v>535990</v>
      </c>
      <c r="G151" s="15">
        <f ca="1">Tabladatos[[#This Row],[Ingresos]]*VLOOKUP(RANDBETWEEN(1,10),Tabla5[],2,FALSE)</f>
        <v>53599</v>
      </c>
      <c r="H151" s="15">
        <f ca="1">Tabladatos[[#This Row],[Ingresos]]-Tabladatos[[#This Row],[Costos]]</f>
        <v>482391</v>
      </c>
    </row>
    <row r="152" spans="1:8" ht="22.5" customHeight="1" x14ac:dyDescent="0.25">
      <c r="A152" t="s">
        <v>9</v>
      </c>
      <c r="B152" t="str">
        <f ca="1">VLOOKUP(RANDBETWEEN(1,3),Tabla1[],2,FALSE)</f>
        <v>Central</v>
      </c>
      <c r="C152">
        <v>2020</v>
      </c>
      <c r="D152" t="str">
        <f ca="1">VLOOKUP(RANDBETWEEN(1,4),Tabla2[],2,FALSE)</f>
        <v>4to Trimestre</v>
      </c>
      <c r="E152" t="str">
        <f ca="1">VLOOKUP(RANDBETWEEN(1,8),Tabla3[],2,FALSE)</f>
        <v>Monitores</v>
      </c>
      <c r="F152" s="15">
        <f ca="1">VLOOKUP(RANDBETWEEN(1,12),Tabla4[],2,FALSE)</f>
        <v>490000</v>
      </c>
      <c r="G152" s="15">
        <f ca="1">Tabladatos[[#This Row],[Ingresos]]*VLOOKUP(RANDBETWEEN(1,10),Tabla5[],2,FALSE)</f>
        <v>343000</v>
      </c>
      <c r="H152" s="15">
        <f ca="1">Tabladatos[[#This Row],[Ingresos]]-Tabladatos[[#This Row],[Costos]]</f>
        <v>147000</v>
      </c>
    </row>
    <row r="153" spans="1:8" ht="22.5" customHeight="1" x14ac:dyDescent="0.25">
      <c r="A153" t="s">
        <v>9</v>
      </c>
      <c r="B153" t="str">
        <f ca="1">VLOOKUP(RANDBETWEEN(1,3),Tabla1[],2,FALSE)</f>
        <v>Norte</v>
      </c>
      <c r="C153">
        <v>2020</v>
      </c>
      <c r="D153" t="str">
        <f ca="1">VLOOKUP(RANDBETWEEN(1,4),Tabla2[],2,FALSE)</f>
        <v>1er Trimestre</v>
      </c>
      <c r="E153" t="str">
        <f ca="1">VLOOKUP(RANDBETWEEN(1,8),Tabla3[],2,FALSE)</f>
        <v>Memorias USB</v>
      </c>
      <c r="F153" s="15">
        <f ca="1">VLOOKUP(RANDBETWEEN(1,12),Tabla4[],2,FALSE)</f>
        <v>95945</v>
      </c>
      <c r="G153" s="15">
        <f ca="1">Tabladatos[[#This Row],[Ingresos]]*VLOOKUP(RANDBETWEEN(1,10),Tabla5[],2,FALSE)</f>
        <v>47972.5</v>
      </c>
      <c r="H153" s="15">
        <f ca="1">Tabladatos[[#This Row],[Ingresos]]-Tabladatos[[#This Row],[Costos]]</f>
        <v>47972.5</v>
      </c>
    </row>
    <row r="154" spans="1:8" ht="22.5" customHeight="1" x14ac:dyDescent="0.25">
      <c r="A154" t="s">
        <v>9</v>
      </c>
      <c r="B154" t="str">
        <f ca="1">VLOOKUP(RANDBETWEEN(1,3),Tabla1[],2,FALSE)</f>
        <v>Central</v>
      </c>
      <c r="C154">
        <v>2020</v>
      </c>
      <c r="D154" t="str">
        <f ca="1">VLOOKUP(RANDBETWEEN(1,4),Tabla2[],2,FALSE)</f>
        <v>3er Trimestre</v>
      </c>
      <c r="E154" t="str">
        <f ca="1">VLOOKUP(RANDBETWEEN(1,8),Tabla3[],2,FALSE)</f>
        <v>Monitores</v>
      </c>
      <c r="F154" s="15">
        <f ca="1">VLOOKUP(RANDBETWEEN(1,12),Tabla4[],2,FALSE)</f>
        <v>120460</v>
      </c>
      <c r="G154" s="15">
        <f ca="1">Tabladatos[[#This Row],[Ingresos]]*VLOOKUP(RANDBETWEEN(1,10),Tabla5[],2,FALSE)</f>
        <v>84322</v>
      </c>
      <c r="H154" s="15">
        <f ca="1">Tabladatos[[#This Row],[Ingresos]]-Tabladatos[[#This Row],[Costos]]</f>
        <v>36138</v>
      </c>
    </row>
    <row r="155" spans="1:8" ht="22.5" customHeight="1" x14ac:dyDescent="0.25">
      <c r="A155" t="s">
        <v>9</v>
      </c>
      <c r="B155" t="str">
        <f ca="1">VLOOKUP(RANDBETWEEN(1,3),Tabla1[],2,FALSE)</f>
        <v>Central</v>
      </c>
      <c r="C155">
        <v>2020</v>
      </c>
      <c r="D155" t="str">
        <f ca="1">VLOOKUP(RANDBETWEEN(1,4),Tabla2[],2,FALSE)</f>
        <v>1er Trimestre</v>
      </c>
      <c r="E155" t="str">
        <f ca="1">VLOOKUP(RANDBETWEEN(1,8),Tabla3[],2,FALSE)</f>
        <v>Escáners</v>
      </c>
      <c r="F155" s="15">
        <f ca="1">VLOOKUP(RANDBETWEEN(1,12),Tabla4[],2,FALSE)</f>
        <v>120460</v>
      </c>
      <c r="G155" s="15">
        <f ca="1">Tabladatos[[#This Row],[Ingresos]]*VLOOKUP(RANDBETWEEN(1,10),Tabla5[],2,FALSE)</f>
        <v>96368</v>
      </c>
      <c r="H155" s="15">
        <f ca="1">Tabladatos[[#This Row],[Ingresos]]-Tabladatos[[#This Row],[Costos]]</f>
        <v>24092</v>
      </c>
    </row>
    <row r="156" spans="1:8" ht="22.5" customHeight="1" x14ac:dyDescent="0.25">
      <c r="A156" t="s">
        <v>9</v>
      </c>
      <c r="B156" t="str">
        <f ca="1">VLOOKUP(RANDBETWEEN(1,3),Tabla1[],2,FALSE)</f>
        <v xml:space="preserve">Sur </v>
      </c>
      <c r="C156">
        <v>2020</v>
      </c>
      <c r="D156" t="str">
        <f ca="1">VLOOKUP(RANDBETWEEN(1,4),Tabla2[],2,FALSE)</f>
        <v>1er Trimestre</v>
      </c>
      <c r="E156" t="str">
        <f ca="1">VLOOKUP(RANDBETWEEN(1,8),Tabla3[],2,FALSE)</f>
        <v>Impresoras</v>
      </c>
      <c r="F156" s="15">
        <f ca="1">VLOOKUP(RANDBETWEEN(1,12),Tabla4[],2,FALSE)</f>
        <v>170000</v>
      </c>
      <c r="G156" s="15">
        <f ca="1">Tabladatos[[#This Row],[Ingresos]]*VLOOKUP(RANDBETWEEN(1,10),Tabla5[],2,FALSE)</f>
        <v>25500</v>
      </c>
      <c r="H156" s="15">
        <f ca="1">Tabladatos[[#This Row],[Ingresos]]-Tabladatos[[#This Row],[Costos]]</f>
        <v>144500</v>
      </c>
    </row>
    <row r="157" spans="1:8" ht="22.5" customHeight="1" x14ac:dyDescent="0.25">
      <c r="A157" t="s">
        <v>9</v>
      </c>
      <c r="B157" t="str">
        <f ca="1">VLOOKUP(RANDBETWEEN(1,3),Tabla1[],2,FALSE)</f>
        <v xml:space="preserve">Sur </v>
      </c>
      <c r="C157">
        <v>2020</v>
      </c>
      <c r="D157" t="str">
        <f ca="1">VLOOKUP(RANDBETWEEN(1,4),Tabla2[],2,FALSE)</f>
        <v>1er Trimestre</v>
      </c>
      <c r="E157" t="str">
        <f ca="1">VLOOKUP(RANDBETWEEN(1,8),Tabla3[],2,FALSE)</f>
        <v>Tarjetas Wifi</v>
      </c>
      <c r="F157" s="15">
        <f ca="1">VLOOKUP(RANDBETWEEN(1,12),Tabla4[],2,FALSE)</f>
        <v>365285</v>
      </c>
      <c r="G157" s="15">
        <f ca="1">Tabladatos[[#This Row],[Ingresos]]*VLOOKUP(RANDBETWEEN(1,10),Tabla5[],2,FALSE)</f>
        <v>109585.5</v>
      </c>
      <c r="H157" s="15">
        <f ca="1">Tabladatos[[#This Row],[Ingresos]]-Tabladatos[[#This Row],[Costos]]</f>
        <v>255699.5</v>
      </c>
    </row>
    <row r="158" spans="1:8" ht="22.5" customHeight="1" x14ac:dyDescent="0.25">
      <c r="A158" t="s">
        <v>9</v>
      </c>
      <c r="B158" t="str">
        <f ca="1">VLOOKUP(RANDBETWEEN(1,3),Tabla1[],2,FALSE)</f>
        <v xml:space="preserve">Sur </v>
      </c>
      <c r="C158">
        <v>2020</v>
      </c>
      <c r="D158" t="str">
        <f ca="1">VLOOKUP(RANDBETWEEN(1,4),Tabla2[],2,FALSE)</f>
        <v>2do Trimestre</v>
      </c>
      <c r="E158" t="str">
        <f ca="1">VLOOKUP(RANDBETWEEN(1,8),Tabla3[],2,FALSE)</f>
        <v>SSD</v>
      </c>
      <c r="F158" s="15">
        <f ca="1">VLOOKUP(RANDBETWEEN(1,12),Tabla4[],2,FALSE)</f>
        <v>490000</v>
      </c>
      <c r="G158" s="15">
        <f ca="1">Tabladatos[[#This Row],[Ingresos]]*VLOOKUP(RANDBETWEEN(1,10),Tabla5[],2,FALSE)</f>
        <v>196000</v>
      </c>
      <c r="H158" s="15">
        <f ca="1">Tabladatos[[#This Row],[Ingresos]]-Tabladatos[[#This Row],[Costos]]</f>
        <v>294000</v>
      </c>
    </row>
    <row r="159" spans="1:8" ht="22.5" customHeight="1" x14ac:dyDescent="0.25">
      <c r="A159" t="s">
        <v>9</v>
      </c>
      <c r="B159" t="str">
        <f ca="1">VLOOKUP(RANDBETWEEN(1,3),Tabla1[],2,FALSE)</f>
        <v>Norte</v>
      </c>
      <c r="C159">
        <v>2020</v>
      </c>
      <c r="D159" t="str">
        <f ca="1">VLOOKUP(RANDBETWEEN(1,4),Tabla2[],2,FALSE)</f>
        <v>1er Trimestre</v>
      </c>
      <c r="E159" t="str">
        <f ca="1">VLOOKUP(RANDBETWEEN(1,8),Tabla3[],2,FALSE)</f>
        <v>Laptops</v>
      </c>
      <c r="F159" s="15">
        <f ca="1">VLOOKUP(RANDBETWEEN(1,12),Tabla4[],2,FALSE)</f>
        <v>66150</v>
      </c>
      <c r="G159" s="15">
        <f ca="1">Tabladatos[[#This Row],[Ingresos]]*VLOOKUP(RANDBETWEEN(1,10),Tabla5[],2,FALSE)</f>
        <v>46305</v>
      </c>
      <c r="H159" s="15">
        <f ca="1">Tabladatos[[#This Row],[Ingresos]]-Tabladatos[[#This Row],[Costos]]</f>
        <v>19845</v>
      </c>
    </row>
    <row r="160" spans="1:8" ht="22.5" customHeight="1" x14ac:dyDescent="0.25">
      <c r="A160" t="s">
        <v>9</v>
      </c>
      <c r="B160" t="str">
        <f ca="1">VLOOKUP(RANDBETWEEN(1,3),Tabla1[],2,FALSE)</f>
        <v>Norte</v>
      </c>
      <c r="C160">
        <v>2020</v>
      </c>
      <c r="D160" t="str">
        <f ca="1">VLOOKUP(RANDBETWEEN(1,4),Tabla2[],2,FALSE)</f>
        <v>4to Trimestre</v>
      </c>
      <c r="E160" t="str">
        <f ca="1">VLOOKUP(RANDBETWEEN(1,8),Tabla3[],2,FALSE)</f>
        <v>Escáners</v>
      </c>
      <c r="F160" s="15">
        <f ca="1">VLOOKUP(RANDBETWEEN(1,12),Tabla4[],2,FALSE)</f>
        <v>170000</v>
      </c>
      <c r="G160" s="15">
        <f ca="1">Tabladatos[[#This Row],[Ingresos]]*VLOOKUP(RANDBETWEEN(1,10),Tabla5[],2,FALSE)</f>
        <v>102000</v>
      </c>
      <c r="H160" s="15">
        <f ca="1">Tabladatos[[#This Row],[Ingresos]]-Tabladatos[[#This Row],[Costos]]</f>
        <v>68000</v>
      </c>
    </row>
    <row r="161" spans="1:8" ht="22.5" customHeight="1" x14ac:dyDescent="0.25">
      <c r="A161" t="s">
        <v>9</v>
      </c>
      <c r="B161" t="str">
        <f ca="1">VLOOKUP(RANDBETWEEN(1,3),Tabla1[],2,FALSE)</f>
        <v>Central</v>
      </c>
      <c r="C161">
        <v>2020</v>
      </c>
      <c r="D161" t="str">
        <f ca="1">VLOOKUP(RANDBETWEEN(1,4),Tabla2[],2,FALSE)</f>
        <v>2do Trimestre</v>
      </c>
      <c r="E161" t="str">
        <f ca="1">VLOOKUP(RANDBETWEEN(1,8),Tabla3[],2,FALSE)</f>
        <v>SSD</v>
      </c>
      <c r="F161" s="15">
        <f ca="1">VLOOKUP(RANDBETWEEN(1,12),Tabla4[],2,FALSE)</f>
        <v>490000</v>
      </c>
      <c r="G161" s="15">
        <f ca="1">Tabladatos[[#This Row],[Ingresos]]*VLOOKUP(RANDBETWEEN(1,10),Tabla5[],2,FALSE)</f>
        <v>73500</v>
      </c>
      <c r="H161" s="15">
        <f ca="1">Tabladatos[[#This Row],[Ingresos]]-Tabladatos[[#This Row],[Costos]]</f>
        <v>416500</v>
      </c>
    </row>
    <row r="162" spans="1:8" ht="22.5" customHeight="1" x14ac:dyDescent="0.25">
      <c r="A162" t="s">
        <v>9</v>
      </c>
      <c r="B162" t="str">
        <f ca="1">VLOOKUP(RANDBETWEEN(1,3),Tabla1[],2,FALSE)</f>
        <v>Norte</v>
      </c>
      <c r="C162">
        <v>2020</v>
      </c>
      <c r="D162" t="str">
        <f ca="1">VLOOKUP(RANDBETWEEN(1,4),Tabla2[],2,FALSE)</f>
        <v>1er Trimestre</v>
      </c>
      <c r="E162" t="str">
        <f ca="1">VLOOKUP(RANDBETWEEN(1,8),Tabla3[],2,FALSE)</f>
        <v>SSD</v>
      </c>
      <c r="F162" s="15">
        <f ca="1">VLOOKUP(RANDBETWEEN(1,12),Tabla4[],2,FALSE)</f>
        <v>66150</v>
      </c>
      <c r="G162" s="15">
        <f ca="1">Tabladatos[[#This Row],[Ingresos]]*VLOOKUP(RANDBETWEEN(1,10),Tabla5[],2,FALSE)</f>
        <v>52920</v>
      </c>
      <c r="H162" s="15">
        <f ca="1">Tabladatos[[#This Row],[Ingresos]]-Tabladatos[[#This Row],[Costos]]</f>
        <v>13230</v>
      </c>
    </row>
    <row r="163" spans="1:8" ht="22.5" customHeight="1" x14ac:dyDescent="0.25">
      <c r="A163" t="s">
        <v>9</v>
      </c>
      <c r="B163" t="str">
        <f ca="1">VLOOKUP(RANDBETWEEN(1,3),Tabla1[],2,FALSE)</f>
        <v>Norte</v>
      </c>
      <c r="C163">
        <v>2020</v>
      </c>
      <c r="D163" t="str">
        <f ca="1">VLOOKUP(RANDBETWEEN(1,4),Tabla2[],2,FALSE)</f>
        <v>2do Trimestre</v>
      </c>
      <c r="E163" t="str">
        <f ca="1">VLOOKUP(RANDBETWEEN(1,8),Tabla3[],2,FALSE)</f>
        <v>Escáners</v>
      </c>
      <c r="F163" s="15">
        <f ca="1">VLOOKUP(RANDBETWEEN(1,12),Tabla4[],2,FALSE)</f>
        <v>300000</v>
      </c>
      <c r="G163" s="15">
        <f ca="1">Tabladatos[[#This Row],[Ingresos]]*VLOOKUP(RANDBETWEEN(1,10),Tabla5[],2,FALSE)</f>
        <v>75000</v>
      </c>
      <c r="H163" s="15">
        <f ca="1">Tabladatos[[#This Row],[Ingresos]]-Tabladatos[[#This Row],[Costos]]</f>
        <v>225000</v>
      </c>
    </row>
    <row r="164" spans="1:8" ht="22.5" customHeight="1" x14ac:dyDescent="0.25">
      <c r="A164" t="s">
        <v>9</v>
      </c>
      <c r="B164" t="str">
        <f ca="1">VLOOKUP(RANDBETWEEN(1,3),Tabla1[],2,FALSE)</f>
        <v>Central</v>
      </c>
      <c r="C164">
        <v>2020</v>
      </c>
      <c r="D164" t="str">
        <f ca="1">VLOOKUP(RANDBETWEEN(1,4),Tabla2[],2,FALSE)</f>
        <v>1er Trimestre</v>
      </c>
      <c r="E164" t="str">
        <f ca="1">VLOOKUP(RANDBETWEEN(1,8),Tabla3[],2,FALSE)</f>
        <v>Escáners</v>
      </c>
      <c r="F164" s="15">
        <f ca="1">VLOOKUP(RANDBETWEEN(1,12),Tabla4[],2,FALSE)</f>
        <v>170000</v>
      </c>
      <c r="G164" s="15">
        <f ca="1">Tabladatos[[#This Row],[Ingresos]]*VLOOKUP(RANDBETWEEN(1,10),Tabla5[],2,FALSE)</f>
        <v>34000</v>
      </c>
      <c r="H164" s="15">
        <f ca="1">Tabladatos[[#This Row],[Ingresos]]-Tabladatos[[#This Row],[Costos]]</f>
        <v>136000</v>
      </c>
    </row>
    <row r="165" spans="1:8" ht="22.5" customHeight="1" x14ac:dyDescent="0.25">
      <c r="A165" t="s">
        <v>9</v>
      </c>
      <c r="B165" t="str">
        <f ca="1">VLOOKUP(RANDBETWEEN(1,3),Tabla1[],2,FALSE)</f>
        <v>Norte</v>
      </c>
      <c r="C165">
        <v>2020</v>
      </c>
      <c r="D165" t="str">
        <f ca="1">VLOOKUP(RANDBETWEEN(1,4),Tabla2[],2,FALSE)</f>
        <v>3er Trimestre</v>
      </c>
      <c r="E165" t="str">
        <f ca="1">VLOOKUP(RANDBETWEEN(1,8),Tabla3[],2,FALSE)</f>
        <v>SSD</v>
      </c>
      <c r="F165" s="15">
        <f ca="1">VLOOKUP(RANDBETWEEN(1,12),Tabla4[],2,FALSE)</f>
        <v>95945</v>
      </c>
      <c r="G165" s="15">
        <f ca="1">Tabladatos[[#This Row],[Ingresos]]*VLOOKUP(RANDBETWEEN(1,10),Tabla5[],2,FALSE)</f>
        <v>67161.5</v>
      </c>
      <c r="H165" s="15">
        <f ca="1">Tabladatos[[#This Row],[Ingresos]]-Tabladatos[[#This Row],[Costos]]</f>
        <v>28783.5</v>
      </c>
    </row>
    <row r="166" spans="1:8" ht="22.5" customHeight="1" x14ac:dyDescent="0.25">
      <c r="A166" t="s">
        <v>9</v>
      </c>
      <c r="B166" t="str">
        <f ca="1">VLOOKUP(RANDBETWEEN(1,3),Tabla1[],2,FALSE)</f>
        <v>Central</v>
      </c>
      <c r="C166">
        <v>2020</v>
      </c>
      <c r="D166" t="str">
        <f ca="1">VLOOKUP(RANDBETWEEN(1,4),Tabla2[],2,FALSE)</f>
        <v>4to Trimestre</v>
      </c>
      <c r="E166" t="str">
        <f ca="1">VLOOKUP(RANDBETWEEN(1,8),Tabla3[],2,FALSE)</f>
        <v>SSD</v>
      </c>
      <c r="F166" s="15">
        <f ca="1">VLOOKUP(RANDBETWEEN(1,12),Tabla4[],2,FALSE)</f>
        <v>66150</v>
      </c>
      <c r="G166" s="15">
        <f ca="1">Tabladatos[[#This Row],[Ingresos]]*VLOOKUP(RANDBETWEEN(1,10),Tabla5[],2,FALSE)</f>
        <v>46305</v>
      </c>
      <c r="H166" s="15">
        <f ca="1">Tabladatos[[#This Row],[Ingresos]]-Tabladatos[[#This Row],[Costos]]</f>
        <v>19845</v>
      </c>
    </row>
    <row r="167" spans="1:8" ht="22.5" customHeight="1" x14ac:dyDescent="0.25">
      <c r="A167" t="s">
        <v>9</v>
      </c>
      <c r="B167" t="str">
        <f ca="1">VLOOKUP(RANDBETWEEN(1,3),Tabla1[],2,FALSE)</f>
        <v>Norte</v>
      </c>
      <c r="C167">
        <v>2020</v>
      </c>
      <c r="D167" t="str">
        <f ca="1">VLOOKUP(RANDBETWEEN(1,4),Tabla2[],2,FALSE)</f>
        <v>1er Trimestre</v>
      </c>
      <c r="E167" t="str">
        <f ca="1">VLOOKUP(RANDBETWEEN(1,8),Tabla3[],2,FALSE)</f>
        <v>Computadoras</v>
      </c>
      <c r="F167" s="15">
        <f ca="1">VLOOKUP(RANDBETWEEN(1,12),Tabla4[],2,FALSE)</f>
        <v>415765</v>
      </c>
      <c r="G167" s="15">
        <f ca="1">Tabladatos[[#This Row],[Ingresos]]*VLOOKUP(RANDBETWEEN(1,10),Tabla5[],2,FALSE)</f>
        <v>41576.5</v>
      </c>
      <c r="H167" s="15">
        <f ca="1">Tabladatos[[#This Row],[Ingresos]]-Tabladatos[[#This Row],[Costos]]</f>
        <v>374188.5</v>
      </c>
    </row>
    <row r="168" spans="1:8" ht="22.5" customHeight="1" x14ac:dyDescent="0.25">
      <c r="A168" t="s">
        <v>9</v>
      </c>
      <c r="B168" t="str">
        <f ca="1">VLOOKUP(RANDBETWEEN(1,3),Tabla1[],2,FALSE)</f>
        <v xml:space="preserve">Sur </v>
      </c>
      <c r="C168">
        <v>2020</v>
      </c>
      <c r="D168" t="str">
        <f ca="1">VLOOKUP(RANDBETWEEN(1,4),Tabla2[],2,FALSE)</f>
        <v>3er Trimestre</v>
      </c>
      <c r="E168" t="str">
        <f ca="1">VLOOKUP(RANDBETWEEN(1,8),Tabla3[],2,FALSE)</f>
        <v>Laptops</v>
      </c>
      <c r="F168" s="15">
        <f ca="1">VLOOKUP(RANDBETWEEN(1,12),Tabla4[],2,FALSE)</f>
        <v>490000</v>
      </c>
      <c r="G168" s="15">
        <f ca="1">Tabladatos[[#This Row],[Ingresos]]*VLOOKUP(RANDBETWEEN(1,10),Tabla5[],2,FALSE)</f>
        <v>343000</v>
      </c>
      <c r="H168" s="15">
        <f ca="1">Tabladatos[[#This Row],[Ingresos]]-Tabladatos[[#This Row],[Costos]]</f>
        <v>147000</v>
      </c>
    </row>
    <row r="169" spans="1:8" ht="22.5" customHeight="1" x14ac:dyDescent="0.25">
      <c r="A169" t="s">
        <v>9</v>
      </c>
      <c r="B169" t="str">
        <f ca="1">VLOOKUP(RANDBETWEEN(1,3),Tabla1[],2,FALSE)</f>
        <v>Norte</v>
      </c>
      <c r="C169">
        <v>2020</v>
      </c>
      <c r="D169" t="str">
        <f ca="1">VLOOKUP(RANDBETWEEN(1,4),Tabla2[],2,FALSE)</f>
        <v>2do Trimestre</v>
      </c>
      <c r="E169" t="str">
        <f ca="1">VLOOKUP(RANDBETWEEN(1,8),Tabla3[],2,FALSE)</f>
        <v>Laptops</v>
      </c>
      <c r="F169" s="15">
        <f ca="1">VLOOKUP(RANDBETWEEN(1,12),Tabla4[],2,FALSE)</f>
        <v>365285</v>
      </c>
      <c r="G169" s="15">
        <f ca="1">Tabladatos[[#This Row],[Ingresos]]*VLOOKUP(RANDBETWEEN(1,10),Tabla5[],2,FALSE)</f>
        <v>292228</v>
      </c>
      <c r="H169" s="15">
        <f ca="1">Tabladatos[[#This Row],[Ingresos]]-Tabladatos[[#This Row],[Costos]]</f>
        <v>73057</v>
      </c>
    </row>
    <row r="170" spans="1:8" ht="22.5" customHeight="1" x14ac:dyDescent="0.25">
      <c r="A170" t="s">
        <v>9</v>
      </c>
      <c r="B170" t="str">
        <f ca="1">VLOOKUP(RANDBETWEEN(1,3),Tabla1[],2,FALSE)</f>
        <v>Central</v>
      </c>
      <c r="C170">
        <v>2020</v>
      </c>
      <c r="D170" t="str">
        <f ca="1">VLOOKUP(RANDBETWEEN(1,4),Tabla2[],2,FALSE)</f>
        <v>4to Trimestre</v>
      </c>
      <c r="E170" t="str">
        <f ca="1">VLOOKUP(RANDBETWEEN(1,8),Tabla3[],2,FALSE)</f>
        <v>SSD</v>
      </c>
      <c r="F170" s="15">
        <f ca="1">VLOOKUP(RANDBETWEEN(1,12),Tabla4[],2,FALSE)</f>
        <v>228990</v>
      </c>
      <c r="G170" s="15">
        <f ca="1">Tabladatos[[#This Row],[Ingresos]]*VLOOKUP(RANDBETWEEN(1,10),Tabla5[],2,FALSE)</f>
        <v>57247.5</v>
      </c>
      <c r="H170" s="15">
        <f ca="1">Tabladatos[[#This Row],[Ingresos]]-Tabladatos[[#This Row],[Costos]]</f>
        <v>171742.5</v>
      </c>
    </row>
    <row r="171" spans="1:8" ht="22.5" customHeight="1" x14ac:dyDescent="0.25">
      <c r="A171" t="s">
        <v>9</v>
      </c>
      <c r="B171" t="str">
        <f ca="1">VLOOKUP(RANDBETWEEN(1,3),Tabla1[],2,FALSE)</f>
        <v>Central</v>
      </c>
      <c r="C171">
        <v>2020</v>
      </c>
      <c r="D171" t="str">
        <f ca="1">VLOOKUP(RANDBETWEEN(1,4),Tabla2[],2,FALSE)</f>
        <v>1er Trimestre</v>
      </c>
      <c r="E171" t="str">
        <f ca="1">VLOOKUP(RANDBETWEEN(1,8),Tabla3[],2,FALSE)</f>
        <v>Memorias USB</v>
      </c>
      <c r="F171" s="15">
        <f ca="1">VLOOKUP(RANDBETWEEN(1,12),Tabla4[],2,FALSE)</f>
        <v>300000</v>
      </c>
      <c r="G171" s="15">
        <f ca="1">Tabladatos[[#This Row],[Ingresos]]*VLOOKUP(RANDBETWEEN(1,10),Tabla5[],2,FALSE)</f>
        <v>120000</v>
      </c>
      <c r="H171" s="15">
        <f ca="1">Tabladatos[[#This Row],[Ingresos]]-Tabladatos[[#This Row],[Costos]]</f>
        <v>180000</v>
      </c>
    </row>
    <row r="172" spans="1:8" ht="22.5" customHeight="1" x14ac:dyDescent="0.25">
      <c r="A172" t="s">
        <v>9</v>
      </c>
      <c r="B172" t="str">
        <f ca="1">VLOOKUP(RANDBETWEEN(1,3),Tabla1[],2,FALSE)</f>
        <v>Central</v>
      </c>
      <c r="C172">
        <v>2020</v>
      </c>
      <c r="D172" t="str">
        <f ca="1">VLOOKUP(RANDBETWEEN(1,4),Tabla2[],2,FALSE)</f>
        <v>1er Trimestre</v>
      </c>
      <c r="E172" t="str">
        <f ca="1">VLOOKUP(RANDBETWEEN(1,8),Tabla3[],2,FALSE)</f>
        <v>SSD</v>
      </c>
      <c r="F172" s="15">
        <f ca="1">VLOOKUP(RANDBETWEEN(1,12),Tabla4[],2,FALSE)</f>
        <v>120460</v>
      </c>
      <c r="G172" s="15">
        <f ca="1">Tabladatos[[#This Row],[Ingresos]]*VLOOKUP(RANDBETWEEN(1,10),Tabla5[],2,FALSE)</f>
        <v>30115</v>
      </c>
      <c r="H172" s="15">
        <f ca="1">Tabladatos[[#This Row],[Ingresos]]-Tabladatos[[#This Row],[Costos]]</f>
        <v>90345</v>
      </c>
    </row>
    <row r="173" spans="1:8" ht="22.5" customHeight="1" x14ac:dyDescent="0.25">
      <c r="A173" t="s">
        <v>9</v>
      </c>
      <c r="B173" t="str">
        <f ca="1">VLOOKUP(RANDBETWEEN(1,3),Tabla1[],2,FALSE)</f>
        <v xml:space="preserve">Sur </v>
      </c>
      <c r="C173">
        <v>2020</v>
      </c>
      <c r="D173" t="str">
        <f ca="1">VLOOKUP(RANDBETWEEN(1,4),Tabla2[],2,FALSE)</f>
        <v>3er Trimestre</v>
      </c>
      <c r="E173" t="str">
        <f ca="1">VLOOKUP(RANDBETWEEN(1,8),Tabla3[],2,FALSE)</f>
        <v>Computadoras</v>
      </c>
      <c r="F173" s="15">
        <f ca="1">VLOOKUP(RANDBETWEEN(1,12),Tabla4[],2,FALSE)</f>
        <v>120460</v>
      </c>
      <c r="G173" s="15">
        <f ca="1">Tabladatos[[#This Row],[Ingresos]]*VLOOKUP(RANDBETWEEN(1,10),Tabla5[],2,FALSE)</f>
        <v>12046</v>
      </c>
      <c r="H173" s="15">
        <f ca="1">Tabladatos[[#This Row],[Ingresos]]-Tabladatos[[#This Row],[Costos]]</f>
        <v>108414</v>
      </c>
    </row>
    <row r="174" spans="1:8" ht="22.5" customHeight="1" x14ac:dyDescent="0.25">
      <c r="A174" t="s">
        <v>9</v>
      </c>
      <c r="B174" t="str">
        <f ca="1">VLOOKUP(RANDBETWEEN(1,3),Tabla1[],2,FALSE)</f>
        <v>Central</v>
      </c>
      <c r="C174">
        <v>2020</v>
      </c>
      <c r="D174" t="str">
        <f ca="1">VLOOKUP(RANDBETWEEN(1,4),Tabla2[],2,FALSE)</f>
        <v>1er Trimestre</v>
      </c>
      <c r="E174" t="str">
        <f ca="1">VLOOKUP(RANDBETWEEN(1,8),Tabla3[],2,FALSE)</f>
        <v>SSD</v>
      </c>
      <c r="F174" s="15">
        <f ca="1">VLOOKUP(RANDBETWEEN(1,12),Tabla4[],2,FALSE)</f>
        <v>415765</v>
      </c>
      <c r="G174" s="15">
        <f ca="1">Tabladatos[[#This Row],[Ingresos]]*VLOOKUP(RANDBETWEEN(1,10),Tabla5[],2,FALSE)</f>
        <v>207882.5</v>
      </c>
      <c r="H174" s="15">
        <f ca="1">Tabladatos[[#This Row],[Ingresos]]-Tabladatos[[#This Row],[Costos]]</f>
        <v>207882.5</v>
      </c>
    </row>
    <row r="175" spans="1:8" ht="22.5" customHeight="1" x14ac:dyDescent="0.25">
      <c r="A175" t="s">
        <v>9</v>
      </c>
      <c r="B175" t="str">
        <f ca="1">VLOOKUP(RANDBETWEEN(1,3),Tabla1[],2,FALSE)</f>
        <v>Norte</v>
      </c>
      <c r="C175">
        <v>2020</v>
      </c>
      <c r="D175" t="str">
        <f ca="1">VLOOKUP(RANDBETWEEN(1,4),Tabla2[],2,FALSE)</f>
        <v>1er Trimestre</v>
      </c>
      <c r="E175" t="str">
        <f ca="1">VLOOKUP(RANDBETWEEN(1,8),Tabla3[],2,FALSE)</f>
        <v>Laptops</v>
      </c>
      <c r="F175" s="15">
        <f ca="1">VLOOKUP(RANDBETWEEN(1,12),Tabla4[],2,FALSE)</f>
        <v>300000</v>
      </c>
      <c r="G175" s="15">
        <f ca="1">Tabladatos[[#This Row],[Ingresos]]*VLOOKUP(RANDBETWEEN(1,10),Tabla5[],2,FALSE)</f>
        <v>120000</v>
      </c>
      <c r="H175" s="15">
        <f ca="1">Tabladatos[[#This Row],[Ingresos]]-Tabladatos[[#This Row],[Costos]]</f>
        <v>180000</v>
      </c>
    </row>
    <row r="176" spans="1:8" ht="22.5" customHeight="1" x14ac:dyDescent="0.25">
      <c r="A176" t="s">
        <v>9</v>
      </c>
      <c r="B176" t="str">
        <f ca="1">VLOOKUP(RANDBETWEEN(1,3),Tabla1[],2,FALSE)</f>
        <v>Norte</v>
      </c>
      <c r="C176">
        <v>2020</v>
      </c>
      <c r="D176" t="str">
        <f ca="1">VLOOKUP(RANDBETWEEN(1,4),Tabla2[],2,FALSE)</f>
        <v>4to Trimestre</v>
      </c>
      <c r="E176" t="str">
        <f ca="1">VLOOKUP(RANDBETWEEN(1,8),Tabla3[],2,FALSE)</f>
        <v>Monitores</v>
      </c>
      <c r="F176" s="15">
        <f ca="1">VLOOKUP(RANDBETWEEN(1,12),Tabla4[],2,FALSE)</f>
        <v>228990</v>
      </c>
      <c r="G176" s="15">
        <f ca="1">Tabladatos[[#This Row],[Ingresos]]*VLOOKUP(RANDBETWEEN(1,10),Tabla5[],2,FALSE)</f>
        <v>137394</v>
      </c>
      <c r="H176" s="15">
        <f ca="1">Tabladatos[[#This Row],[Ingresos]]-Tabladatos[[#This Row],[Costos]]</f>
        <v>91596</v>
      </c>
    </row>
    <row r="177" spans="1:8" ht="22.5" customHeight="1" x14ac:dyDescent="0.25">
      <c r="A177" t="s">
        <v>9</v>
      </c>
      <c r="B177" t="str">
        <f ca="1">VLOOKUP(RANDBETWEEN(1,3),Tabla1[],2,FALSE)</f>
        <v>Norte</v>
      </c>
      <c r="C177">
        <v>2020</v>
      </c>
      <c r="D177" t="str">
        <f ca="1">VLOOKUP(RANDBETWEEN(1,4),Tabla2[],2,FALSE)</f>
        <v>4to Trimestre</v>
      </c>
      <c r="E177" t="str">
        <f ca="1">VLOOKUP(RANDBETWEEN(1,8),Tabla3[],2,FALSE)</f>
        <v>Laptops</v>
      </c>
      <c r="F177" s="15">
        <f ca="1">VLOOKUP(RANDBETWEEN(1,12),Tabla4[],2,FALSE)</f>
        <v>300000</v>
      </c>
      <c r="G177" s="15">
        <f ca="1">Tabladatos[[#This Row],[Ingresos]]*VLOOKUP(RANDBETWEEN(1,10),Tabla5[],2,FALSE)</f>
        <v>210000</v>
      </c>
      <c r="H177" s="15">
        <f ca="1">Tabladatos[[#This Row],[Ingresos]]-Tabladatos[[#This Row],[Costos]]</f>
        <v>90000</v>
      </c>
    </row>
    <row r="178" spans="1:8" ht="22.5" customHeight="1" x14ac:dyDescent="0.25">
      <c r="A178" t="s">
        <v>9</v>
      </c>
      <c r="B178" t="str">
        <f ca="1">VLOOKUP(RANDBETWEEN(1,3),Tabla1[],2,FALSE)</f>
        <v xml:space="preserve">Sur </v>
      </c>
      <c r="C178">
        <v>2020</v>
      </c>
      <c r="D178" t="str">
        <f ca="1">VLOOKUP(RANDBETWEEN(1,4),Tabla2[],2,FALSE)</f>
        <v>3er Trimestre</v>
      </c>
      <c r="E178" t="str">
        <f ca="1">VLOOKUP(RANDBETWEEN(1,8),Tabla3[],2,FALSE)</f>
        <v>SSD</v>
      </c>
      <c r="F178" s="15">
        <f ca="1">VLOOKUP(RANDBETWEEN(1,12),Tabla4[],2,FALSE)</f>
        <v>535990</v>
      </c>
      <c r="G178" s="15">
        <f ca="1">Tabladatos[[#This Row],[Ingresos]]*VLOOKUP(RANDBETWEEN(1,10),Tabla5[],2,FALSE)</f>
        <v>375193</v>
      </c>
      <c r="H178" s="15">
        <f ca="1">Tabladatos[[#This Row],[Ingresos]]-Tabladatos[[#This Row],[Costos]]</f>
        <v>160797</v>
      </c>
    </row>
    <row r="179" spans="1:8" ht="22.5" customHeight="1" x14ac:dyDescent="0.25">
      <c r="A179" t="s">
        <v>9</v>
      </c>
      <c r="B179" t="str">
        <f ca="1">VLOOKUP(RANDBETWEEN(1,3),Tabla1[],2,FALSE)</f>
        <v>Central</v>
      </c>
      <c r="C179">
        <v>2020</v>
      </c>
      <c r="D179" t="str">
        <f ca="1">VLOOKUP(RANDBETWEEN(1,4),Tabla2[],2,FALSE)</f>
        <v>4to Trimestre</v>
      </c>
      <c r="E179" t="str">
        <f ca="1">VLOOKUP(RANDBETWEEN(1,8),Tabla3[],2,FALSE)</f>
        <v>Tarjetas Wifi</v>
      </c>
      <c r="F179" s="15">
        <f ca="1">VLOOKUP(RANDBETWEEN(1,12),Tabla4[],2,FALSE)</f>
        <v>490000</v>
      </c>
      <c r="G179" s="15">
        <f ca="1">Tabladatos[[#This Row],[Ingresos]]*VLOOKUP(RANDBETWEEN(1,10),Tabla5[],2,FALSE)</f>
        <v>392000</v>
      </c>
      <c r="H179" s="15">
        <f ca="1">Tabladatos[[#This Row],[Ingresos]]-Tabladatos[[#This Row],[Costos]]</f>
        <v>98000</v>
      </c>
    </row>
    <row r="180" spans="1:8" ht="22.5" customHeight="1" x14ac:dyDescent="0.25">
      <c r="A180" t="s">
        <v>9</v>
      </c>
      <c r="B180" t="str">
        <f ca="1">VLOOKUP(RANDBETWEEN(1,3),Tabla1[],2,FALSE)</f>
        <v>Central</v>
      </c>
      <c r="C180">
        <v>2020</v>
      </c>
      <c r="D180" t="str">
        <f ca="1">VLOOKUP(RANDBETWEEN(1,4),Tabla2[],2,FALSE)</f>
        <v>1er Trimestre</v>
      </c>
      <c r="E180" t="str">
        <f ca="1">VLOOKUP(RANDBETWEEN(1,8),Tabla3[],2,FALSE)</f>
        <v>Impresoras</v>
      </c>
      <c r="F180" s="15">
        <f ca="1">VLOOKUP(RANDBETWEEN(1,12),Tabla4[],2,FALSE)</f>
        <v>66150</v>
      </c>
      <c r="G180" s="15">
        <f ca="1">Tabladatos[[#This Row],[Ingresos]]*VLOOKUP(RANDBETWEEN(1,10),Tabla5[],2,FALSE)</f>
        <v>39690</v>
      </c>
      <c r="H180" s="15">
        <f ca="1">Tabladatos[[#This Row],[Ingresos]]-Tabladatos[[#This Row],[Costos]]</f>
        <v>26460</v>
      </c>
    </row>
    <row r="181" spans="1:8" ht="22.5" customHeight="1" x14ac:dyDescent="0.25">
      <c r="A181" t="s">
        <v>9</v>
      </c>
      <c r="B181" t="str">
        <f ca="1">VLOOKUP(RANDBETWEEN(1,3),Tabla1[],2,FALSE)</f>
        <v>Norte</v>
      </c>
      <c r="C181">
        <v>2020</v>
      </c>
      <c r="D181" t="str">
        <f ca="1">VLOOKUP(RANDBETWEEN(1,4),Tabla2[],2,FALSE)</f>
        <v>1er Trimestre</v>
      </c>
      <c r="E181" t="str">
        <f ca="1">VLOOKUP(RANDBETWEEN(1,8),Tabla3[],2,FALSE)</f>
        <v>Tarjetas Wifi</v>
      </c>
      <c r="F181" s="15">
        <f ca="1">VLOOKUP(RANDBETWEEN(1,12),Tabla4[],2,FALSE)</f>
        <v>170000</v>
      </c>
      <c r="G181" s="15">
        <f ca="1">Tabladatos[[#This Row],[Ingresos]]*VLOOKUP(RANDBETWEEN(1,10),Tabla5[],2,FALSE)</f>
        <v>85000</v>
      </c>
      <c r="H181" s="15">
        <f ca="1">Tabladatos[[#This Row],[Ingresos]]-Tabladatos[[#This Row],[Costos]]</f>
        <v>85000</v>
      </c>
    </row>
    <row r="182" spans="1:8" ht="22.5" customHeight="1" x14ac:dyDescent="0.25">
      <c r="A182" t="s">
        <v>9</v>
      </c>
      <c r="B182" t="str">
        <f ca="1">VLOOKUP(RANDBETWEEN(1,3),Tabla1[],2,FALSE)</f>
        <v xml:space="preserve">Sur </v>
      </c>
      <c r="C182">
        <v>2020</v>
      </c>
      <c r="D182" t="str">
        <f ca="1">VLOOKUP(RANDBETWEEN(1,4),Tabla2[],2,FALSE)</f>
        <v>3er Trimestre</v>
      </c>
      <c r="E182" t="str">
        <f ca="1">VLOOKUP(RANDBETWEEN(1,8),Tabla3[],2,FALSE)</f>
        <v>Escáners</v>
      </c>
      <c r="F182" s="15">
        <f ca="1">VLOOKUP(RANDBETWEEN(1,12),Tabla4[],2,FALSE)</f>
        <v>120460</v>
      </c>
      <c r="G182" s="15">
        <f ca="1">Tabladatos[[#This Row],[Ingresos]]*VLOOKUP(RANDBETWEEN(1,10),Tabla5[],2,FALSE)</f>
        <v>24092</v>
      </c>
      <c r="H182" s="15">
        <f ca="1">Tabladatos[[#This Row],[Ingresos]]-Tabladatos[[#This Row],[Costos]]</f>
        <v>96368</v>
      </c>
    </row>
    <row r="183" spans="1:8" ht="22.5" customHeight="1" x14ac:dyDescent="0.25">
      <c r="A183" t="s">
        <v>10</v>
      </c>
      <c r="B183" t="str">
        <f ca="1">VLOOKUP(RANDBETWEEN(1,3),Tabla1[],2,FALSE)</f>
        <v xml:space="preserve">Sur </v>
      </c>
      <c r="C183">
        <v>2020</v>
      </c>
      <c r="D183" t="str">
        <f ca="1">VLOOKUP(RANDBETWEEN(1,4),Tabla2[],2,FALSE)</f>
        <v>2do Trimestre</v>
      </c>
      <c r="E183" t="str">
        <f ca="1">VLOOKUP(RANDBETWEEN(1,8),Tabla3[],2,FALSE)</f>
        <v>Memorias USB</v>
      </c>
      <c r="F183" s="15">
        <f ca="1">VLOOKUP(RANDBETWEEN(1,12),Tabla4[],2,FALSE)</f>
        <v>66150</v>
      </c>
      <c r="G183" s="15">
        <f ca="1">Tabladatos[[#This Row],[Ingresos]]*VLOOKUP(RANDBETWEEN(1,10),Tabla5[],2,FALSE)</f>
        <v>39690</v>
      </c>
      <c r="H183" s="15">
        <f ca="1">Tabladatos[[#This Row],[Ingresos]]-Tabladatos[[#This Row],[Costos]]</f>
        <v>26460</v>
      </c>
    </row>
    <row r="184" spans="1:8" ht="22.5" customHeight="1" x14ac:dyDescent="0.25">
      <c r="A184" t="s">
        <v>10</v>
      </c>
      <c r="B184" t="str">
        <f ca="1">VLOOKUP(RANDBETWEEN(1,3),Tabla1[],2,FALSE)</f>
        <v>Central</v>
      </c>
      <c r="C184">
        <v>2020</v>
      </c>
      <c r="D184" t="str">
        <f ca="1">VLOOKUP(RANDBETWEEN(1,4),Tabla2[],2,FALSE)</f>
        <v>4to Trimestre</v>
      </c>
      <c r="E184" t="str">
        <f ca="1">VLOOKUP(RANDBETWEEN(1,8),Tabla3[],2,FALSE)</f>
        <v>Memorias USB</v>
      </c>
      <c r="F184" s="15">
        <f ca="1">VLOOKUP(RANDBETWEEN(1,12),Tabla4[],2,FALSE)</f>
        <v>490000</v>
      </c>
      <c r="G184" s="15">
        <f ca="1">Tabladatos[[#This Row],[Ingresos]]*VLOOKUP(RANDBETWEEN(1,10),Tabla5[],2,FALSE)</f>
        <v>73500</v>
      </c>
      <c r="H184" s="15">
        <f ca="1">Tabladatos[[#This Row],[Ingresos]]-Tabladatos[[#This Row],[Costos]]</f>
        <v>416500</v>
      </c>
    </row>
    <row r="185" spans="1:8" ht="22.5" customHeight="1" x14ac:dyDescent="0.25">
      <c r="A185" t="s">
        <v>10</v>
      </c>
      <c r="B185" t="str">
        <f ca="1">VLOOKUP(RANDBETWEEN(1,3),Tabla1[],2,FALSE)</f>
        <v>Norte</v>
      </c>
      <c r="C185">
        <v>2020</v>
      </c>
      <c r="D185" t="str">
        <f ca="1">VLOOKUP(RANDBETWEEN(1,4),Tabla2[],2,FALSE)</f>
        <v>4to Trimestre</v>
      </c>
      <c r="E185" t="str">
        <f ca="1">VLOOKUP(RANDBETWEEN(1,8),Tabla3[],2,FALSE)</f>
        <v>SSD</v>
      </c>
      <c r="F185" s="15">
        <f ca="1">VLOOKUP(RANDBETWEEN(1,12),Tabla4[],2,FALSE)</f>
        <v>66150</v>
      </c>
      <c r="G185" s="15">
        <f ca="1">Tabladatos[[#This Row],[Ingresos]]*VLOOKUP(RANDBETWEEN(1,10),Tabla5[],2,FALSE)</f>
        <v>46305</v>
      </c>
      <c r="H185" s="15">
        <f ca="1">Tabladatos[[#This Row],[Ingresos]]-Tabladatos[[#This Row],[Costos]]</f>
        <v>19845</v>
      </c>
    </row>
    <row r="186" spans="1:8" ht="22.5" customHeight="1" x14ac:dyDescent="0.25">
      <c r="A186" t="s">
        <v>10</v>
      </c>
      <c r="B186" t="str">
        <f ca="1">VLOOKUP(RANDBETWEEN(1,3),Tabla1[],2,FALSE)</f>
        <v>Norte</v>
      </c>
      <c r="C186">
        <v>2020</v>
      </c>
      <c r="D186" t="str">
        <f ca="1">VLOOKUP(RANDBETWEEN(1,4),Tabla2[],2,FALSE)</f>
        <v>2do Trimestre</v>
      </c>
      <c r="E186" t="str">
        <f ca="1">VLOOKUP(RANDBETWEEN(1,8),Tabla3[],2,FALSE)</f>
        <v>Memorias USB</v>
      </c>
      <c r="F186" s="15">
        <f ca="1">VLOOKUP(RANDBETWEEN(1,12),Tabla4[],2,FALSE)</f>
        <v>95945</v>
      </c>
      <c r="G186" s="15">
        <f ca="1">Tabladatos[[#This Row],[Ingresos]]*VLOOKUP(RANDBETWEEN(1,10),Tabla5[],2,FALSE)</f>
        <v>57567</v>
      </c>
      <c r="H186" s="15">
        <f ca="1">Tabladatos[[#This Row],[Ingresos]]-Tabladatos[[#This Row],[Costos]]</f>
        <v>38378</v>
      </c>
    </row>
    <row r="187" spans="1:8" ht="22.5" customHeight="1" x14ac:dyDescent="0.25">
      <c r="A187" t="s">
        <v>10</v>
      </c>
      <c r="B187" t="str">
        <f ca="1">VLOOKUP(RANDBETWEEN(1,3),Tabla1[],2,FALSE)</f>
        <v>Norte</v>
      </c>
      <c r="C187">
        <v>2020</v>
      </c>
      <c r="D187" t="str">
        <f ca="1">VLOOKUP(RANDBETWEEN(1,4),Tabla2[],2,FALSE)</f>
        <v>2do Trimestre</v>
      </c>
      <c r="E187" t="str">
        <f ca="1">VLOOKUP(RANDBETWEEN(1,8),Tabla3[],2,FALSE)</f>
        <v>SSD</v>
      </c>
      <c r="F187" s="15">
        <f ca="1">VLOOKUP(RANDBETWEEN(1,12),Tabla4[],2,FALSE)</f>
        <v>228990</v>
      </c>
      <c r="G187" s="15">
        <f ca="1">Tabladatos[[#This Row],[Ingresos]]*VLOOKUP(RANDBETWEEN(1,10),Tabla5[],2,FALSE)</f>
        <v>45798</v>
      </c>
      <c r="H187" s="15">
        <f ca="1">Tabladatos[[#This Row],[Ingresos]]-Tabladatos[[#This Row],[Costos]]</f>
        <v>183192</v>
      </c>
    </row>
    <row r="188" spans="1:8" ht="22.5" customHeight="1" x14ac:dyDescent="0.25">
      <c r="A188" t="s">
        <v>10</v>
      </c>
      <c r="B188" t="str">
        <f ca="1">VLOOKUP(RANDBETWEEN(1,3),Tabla1[],2,FALSE)</f>
        <v>Central</v>
      </c>
      <c r="C188">
        <v>2020</v>
      </c>
      <c r="D188" t="str">
        <f ca="1">VLOOKUP(RANDBETWEEN(1,4),Tabla2[],2,FALSE)</f>
        <v>1er Trimestre</v>
      </c>
      <c r="E188" t="str">
        <f ca="1">VLOOKUP(RANDBETWEEN(1,8),Tabla3[],2,FALSE)</f>
        <v>SSD</v>
      </c>
      <c r="F188" s="15">
        <f ca="1">VLOOKUP(RANDBETWEEN(1,12),Tabla4[],2,FALSE)</f>
        <v>490000</v>
      </c>
      <c r="G188" s="15">
        <f ca="1">Tabladatos[[#This Row],[Ingresos]]*VLOOKUP(RANDBETWEEN(1,10),Tabla5[],2,FALSE)</f>
        <v>245000</v>
      </c>
      <c r="H188" s="15">
        <f ca="1">Tabladatos[[#This Row],[Ingresos]]-Tabladatos[[#This Row],[Costos]]</f>
        <v>245000</v>
      </c>
    </row>
    <row r="189" spans="1:8" ht="22.5" customHeight="1" x14ac:dyDescent="0.25">
      <c r="A189" t="s">
        <v>10</v>
      </c>
      <c r="B189" t="str">
        <f ca="1">VLOOKUP(RANDBETWEEN(1,3),Tabla1[],2,FALSE)</f>
        <v>Norte</v>
      </c>
      <c r="C189">
        <v>2020</v>
      </c>
      <c r="D189" t="str">
        <f ca="1">VLOOKUP(RANDBETWEEN(1,4),Tabla2[],2,FALSE)</f>
        <v>1er Trimestre</v>
      </c>
      <c r="E189" t="str">
        <f ca="1">VLOOKUP(RANDBETWEEN(1,8),Tabla3[],2,FALSE)</f>
        <v>Laptops</v>
      </c>
      <c r="F189" s="15">
        <f ca="1">VLOOKUP(RANDBETWEEN(1,12),Tabla4[],2,FALSE)</f>
        <v>300000</v>
      </c>
      <c r="G189" s="15">
        <f ca="1">Tabladatos[[#This Row],[Ingresos]]*VLOOKUP(RANDBETWEEN(1,10),Tabla5[],2,FALSE)</f>
        <v>30000</v>
      </c>
      <c r="H189" s="15">
        <f ca="1">Tabladatos[[#This Row],[Ingresos]]-Tabladatos[[#This Row],[Costos]]</f>
        <v>270000</v>
      </c>
    </row>
    <row r="190" spans="1:8" ht="22.5" customHeight="1" x14ac:dyDescent="0.25">
      <c r="A190" t="s">
        <v>10</v>
      </c>
      <c r="B190" t="str">
        <f ca="1">VLOOKUP(RANDBETWEEN(1,3),Tabla1[],2,FALSE)</f>
        <v xml:space="preserve">Sur </v>
      </c>
      <c r="C190">
        <v>2020</v>
      </c>
      <c r="D190" t="str">
        <f ca="1">VLOOKUP(RANDBETWEEN(1,4),Tabla2[],2,FALSE)</f>
        <v>4to Trimestre</v>
      </c>
      <c r="E190" t="str">
        <f ca="1">VLOOKUP(RANDBETWEEN(1,8),Tabla3[],2,FALSE)</f>
        <v>Tarjetas Wifi</v>
      </c>
      <c r="F190" s="15">
        <f ca="1">VLOOKUP(RANDBETWEEN(1,12),Tabla4[],2,FALSE)</f>
        <v>365285</v>
      </c>
      <c r="G190" s="15">
        <f ca="1">Tabladatos[[#This Row],[Ingresos]]*VLOOKUP(RANDBETWEEN(1,10),Tabla5[],2,FALSE)</f>
        <v>146114</v>
      </c>
      <c r="H190" s="15">
        <f ca="1">Tabladatos[[#This Row],[Ingresos]]-Tabladatos[[#This Row],[Costos]]</f>
        <v>219171</v>
      </c>
    </row>
    <row r="191" spans="1:8" ht="22.5" customHeight="1" x14ac:dyDescent="0.25">
      <c r="A191" t="s">
        <v>10</v>
      </c>
      <c r="B191" t="str">
        <f ca="1">VLOOKUP(RANDBETWEEN(1,3),Tabla1[],2,FALSE)</f>
        <v xml:space="preserve">Sur </v>
      </c>
      <c r="C191">
        <v>2020</v>
      </c>
      <c r="D191" t="str">
        <f ca="1">VLOOKUP(RANDBETWEEN(1,4),Tabla2[],2,FALSE)</f>
        <v>3er Trimestre</v>
      </c>
      <c r="E191" t="str">
        <f ca="1">VLOOKUP(RANDBETWEEN(1,8),Tabla3[],2,FALSE)</f>
        <v>Tarjetas Wifi</v>
      </c>
      <c r="F191" s="15">
        <f ca="1">VLOOKUP(RANDBETWEEN(1,12),Tabla4[],2,FALSE)</f>
        <v>535990</v>
      </c>
      <c r="G191" s="15">
        <f ca="1">Tabladatos[[#This Row],[Ingresos]]*VLOOKUP(RANDBETWEEN(1,10),Tabla5[],2,FALSE)</f>
        <v>80398.5</v>
      </c>
      <c r="H191" s="15">
        <f ca="1">Tabladatos[[#This Row],[Ingresos]]-Tabladatos[[#This Row],[Costos]]</f>
        <v>455591.5</v>
      </c>
    </row>
    <row r="192" spans="1:8" ht="22.5" customHeight="1" x14ac:dyDescent="0.25">
      <c r="A192" t="s">
        <v>10</v>
      </c>
      <c r="B192" t="str">
        <f ca="1">VLOOKUP(RANDBETWEEN(1,3),Tabla1[],2,FALSE)</f>
        <v xml:space="preserve">Sur </v>
      </c>
      <c r="C192">
        <v>2020</v>
      </c>
      <c r="D192" t="str">
        <f ca="1">VLOOKUP(RANDBETWEEN(1,4),Tabla2[],2,FALSE)</f>
        <v>2do Trimestre</v>
      </c>
      <c r="E192" t="str">
        <f ca="1">VLOOKUP(RANDBETWEEN(1,8),Tabla3[],2,FALSE)</f>
        <v>Tarjetas Wifi</v>
      </c>
      <c r="F192" s="15">
        <f ca="1">VLOOKUP(RANDBETWEEN(1,12),Tabla4[],2,FALSE)</f>
        <v>599800</v>
      </c>
      <c r="G192" s="15">
        <f ca="1">Tabladatos[[#This Row],[Ingresos]]*VLOOKUP(RANDBETWEEN(1,10),Tabla5[],2,FALSE)</f>
        <v>59980</v>
      </c>
      <c r="H192" s="15">
        <f ca="1">Tabladatos[[#This Row],[Ingresos]]-Tabladatos[[#This Row],[Costos]]</f>
        <v>539820</v>
      </c>
    </row>
    <row r="193" spans="1:8" ht="22.5" customHeight="1" x14ac:dyDescent="0.25">
      <c r="A193" t="s">
        <v>10</v>
      </c>
      <c r="B193" t="str">
        <f ca="1">VLOOKUP(RANDBETWEEN(1,3),Tabla1[],2,FALSE)</f>
        <v>Norte</v>
      </c>
      <c r="C193">
        <v>2020</v>
      </c>
      <c r="D193" t="str">
        <f ca="1">VLOOKUP(RANDBETWEEN(1,4),Tabla2[],2,FALSE)</f>
        <v>1er Trimestre</v>
      </c>
      <c r="E193" t="str">
        <f ca="1">VLOOKUP(RANDBETWEEN(1,8),Tabla3[],2,FALSE)</f>
        <v>Laptops</v>
      </c>
      <c r="F193" s="15">
        <f ca="1">VLOOKUP(RANDBETWEEN(1,12),Tabla4[],2,FALSE)</f>
        <v>415765</v>
      </c>
      <c r="G193" s="15">
        <f ca="1">Tabladatos[[#This Row],[Ingresos]]*VLOOKUP(RANDBETWEEN(1,10),Tabla5[],2,FALSE)</f>
        <v>207882.5</v>
      </c>
      <c r="H193" s="15">
        <f ca="1">Tabladatos[[#This Row],[Ingresos]]-Tabladatos[[#This Row],[Costos]]</f>
        <v>207882.5</v>
      </c>
    </row>
    <row r="194" spans="1:8" ht="22.5" customHeight="1" x14ac:dyDescent="0.25">
      <c r="A194" t="s">
        <v>10</v>
      </c>
      <c r="B194" t="str">
        <f ca="1">VLOOKUP(RANDBETWEEN(1,3),Tabla1[],2,FALSE)</f>
        <v>Central</v>
      </c>
      <c r="C194">
        <v>2020</v>
      </c>
      <c r="D194" t="str">
        <f ca="1">VLOOKUP(RANDBETWEEN(1,4),Tabla2[],2,FALSE)</f>
        <v>3er Trimestre</v>
      </c>
      <c r="E194" t="str">
        <f ca="1">VLOOKUP(RANDBETWEEN(1,8),Tabla3[],2,FALSE)</f>
        <v>Impresoras</v>
      </c>
      <c r="F194" s="15">
        <f ca="1">VLOOKUP(RANDBETWEEN(1,12),Tabla4[],2,FALSE)</f>
        <v>415765</v>
      </c>
      <c r="G194" s="15">
        <f ca="1">Tabladatos[[#This Row],[Ingresos]]*VLOOKUP(RANDBETWEEN(1,10),Tabla5[],2,FALSE)</f>
        <v>249459</v>
      </c>
      <c r="H194" s="15">
        <f ca="1">Tabladatos[[#This Row],[Ingresos]]-Tabladatos[[#This Row],[Costos]]</f>
        <v>166306</v>
      </c>
    </row>
    <row r="195" spans="1:8" ht="22.5" customHeight="1" x14ac:dyDescent="0.25">
      <c r="A195" t="s">
        <v>10</v>
      </c>
      <c r="B195" t="str">
        <f ca="1">VLOOKUP(RANDBETWEEN(1,3),Tabla1[],2,FALSE)</f>
        <v xml:space="preserve">Sur </v>
      </c>
      <c r="C195">
        <v>2020</v>
      </c>
      <c r="D195" t="str">
        <f ca="1">VLOOKUP(RANDBETWEEN(1,4),Tabla2[],2,FALSE)</f>
        <v>1er Trimestre</v>
      </c>
      <c r="E195" t="str">
        <f ca="1">VLOOKUP(RANDBETWEEN(1,8),Tabla3[],2,FALSE)</f>
        <v>Laptops</v>
      </c>
      <c r="F195" s="15">
        <f ca="1">VLOOKUP(RANDBETWEEN(1,12),Tabla4[],2,FALSE)</f>
        <v>599800</v>
      </c>
      <c r="G195" s="15">
        <f ca="1">Tabladatos[[#This Row],[Ingresos]]*VLOOKUP(RANDBETWEEN(1,10),Tabla5[],2,FALSE)</f>
        <v>419860</v>
      </c>
      <c r="H195" s="15">
        <f ca="1">Tabladatos[[#This Row],[Ingresos]]-Tabladatos[[#This Row],[Costos]]</f>
        <v>179940</v>
      </c>
    </row>
    <row r="196" spans="1:8" ht="22.5" customHeight="1" x14ac:dyDescent="0.25">
      <c r="A196" t="s">
        <v>10</v>
      </c>
      <c r="B196" t="str">
        <f ca="1">VLOOKUP(RANDBETWEEN(1,3),Tabla1[],2,FALSE)</f>
        <v>Central</v>
      </c>
      <c r="C196">
        <v>2020</v>
      </c>
      <c r="D196" t="str">
        <f ca="1">VLOOKUP(RANDBETWEEN(1,4),Tabla2[],2,FALSE)</f>
        <v>1er Trimestre</v>
      </c>
      <c r="E196" t="str">
        <f ca="1">VLOOKUP(RANDBETWEEN(1,8),Tabla3[],2,FALSE)</f>
        <v>Laptops</v>
      </c>
      <c r="F196" s="15">
        <f ca="1">VLOOKUP(RANDBETWEEN(1,12),Tabla4[],2,FALSE)</f>
        <v>170000</v>
      </c>
      <c r="G196" s="15">
        <f ca="1">Tabladatos[[#This Row],[Ingresos]]*VLOOKUP(RANDBETWEEN(1,10),Tabla5[],2,FALSE)</f>
        <v>68000</v>
      </c>
      <c r="H196" s="15">
        <f ca="1">Tabladatos[[#This Row],[Ingresos]]-Tabladatos[[#This Row],[Costos]]</f>
        <v>102000</v>
      </c>
    </row>
    <row r="197" spans="1:8" ht="22.5" customHeight="1" x14ac:dyDescent="0.25">
      <c r="A197" t="s">
        <v>10</v>
      </c>
      <c r="B197" t="str">
        <f ca="1">VLOOKUP(RANDBETWEEN(1,3),Tabla1[],2,FALSE)</f>
        <v>Central</v>
      </c>
      <c r="C197">
        <v>2020</v>
      </c>
      <c r="D197" t="str">
        <f ca="1">VLOOKUP(RANDBETWEEN(1,4),Tabla2[],2,FALSE)</f>
        <v>4to Trimestre</v>
      </c>
      <c r="E197" t="str">
        <f ca="1">VLOOKUP(RANDBETWEEN(1,8),Tabla3[],2,FALSE)</f>
        <v>Laptops</v>
      </c>
      <c r="F197" s="15">
        <f ca="1">VLOOKUP(RANDBETWEEN(1,12),Tabla4[],2,FALSE)</f>
        <v>365285</v>
      </c>
      <c r="G197" s="15">
        <f ca="1">Tabladatos[[#This Row],[Ingresos]]*VLOOKUP(RANDBETWEEN(1,10),Tabla5[],2,FALSE)</f>
        <v>255699.49999999997</v>
      </c>
      <c r="H197" s="15">
        <f ca="1">Tabladatos[[#This Row],[Ingresos]]-Tabladatos[[#This Row],[Costos]]</f>
        <v>109585.50000000003</v>
      </c>
    </row>
    <row r="198" spans="1:8" ht="22.5" customHeight="1" x14ac:dyDescent="0.25">
      <c r="A198" t="s">
        <v>10</v>
      </c>
      <c r="B198" t="str">
        <f ca="1">VLOOKUP(RANDBETWEEN(1,3),Tabla1[],2,FALSE)</f>
        <v xml:space="preserve">Sur </v>
      </c>
      <c r="C198">
        <v>2020</v>
      </c>
      <c r="D198" t="str">
        <f ca="1">VLOOKUP(RANDBETWEEN(1,4),Tabla2[],2,FALSE)</f>
        <v>4to Trimestre</v>
      </c>
      <c r="E198" t="str">
        <f ca="1">VLOOKUP(RANDBETWEEN(1,8),Tabla3[],2,FALSE)</f>
        <v>Tarjetas Wifi</v>
      </c>
      <c r="F198" s="15">
        <f ca="1">VLOOKUP(RANDBETWEEN(1,12),Tabla4[],2,FALSE)</f>
        <v>66150</v>
      </c>
      <c r="G198" s="15">
        <f ca="1">Tabladatos[[#This Row],[Ingresos]]*VLOOKUP(RANDBETWEEN(1,10),Tabla5[],2,FALSE)</f>
        <v>33075</v>
      </c>
      <c r="H198" s="15">
        <f ca="1">Tabladatos[[#This Row],[Ingresos]]-Tabladatos[[#This Row],[Costos]]</f>
        <v>33075</v>
      </c>
    </row>
    <row r="199" spans="1:8" ht="22.5" customHeight="1" x14ac:dyDescent="0.25">
      <c r="A199" t="s">
        <v>10</v>
      </c>
      <c r="B199" t="str">
        <f ca="1">VLOOKUP(RANDBETWEEN(1,3),Tabla1[],2,FALSE)</f>
        <v>Norte</v>
      </c>
      <c r="C199">
        <v>2020</v>
      </c>
      <c r="D199" t="str">
        <f ca="1">VLOOKUP(RANDBETWEEN(1,4),Tabla2[],2,FALSE)</f>
        <v>1er Trimestre</v>
      </c>
      <c r="E199" t="str">
        <f ca="1">VLOOKUP(RANDBETWEEN(1,8),Tabla3[],2,FALSE)</f>
        <v>Monitores</v>
      </c>
      <c r="F199" s="15">
        <f ca="1">VLOOKUP(RANDBETWEEN(1,12),Tabla4[],2,FALSE)</f>
        <v>66150</v>
      </c>
      <c r="G199" s="15">
        <f ca="1">Tabladatos[[#This Row],[Ingresos]]*VLOOKUP(RANDBETWEEN(1,10),Tabla5[],2,FALSE)</f>
        <v>52920</v>
      </c>
      <c r="H199" s="15">
        <f ca="1">Tabladatos[[#This Row],[Ingresos]]-Tabladatos[[#This Row],[Costos]]</f>
        <v>13230</v>
      </c>
    </row>
    <row r="200" spans="1:8" ht="22.5" customHeight="1" x14ac:dyDescent="0.25">
      <c r="A200" t="s">
        <v>10</v>
      </c>
      <c r="B200" t="str">
        <f ca="1">VLOOKUP(RANDBETWEEN(1,3),Tabla1[],2,FALSE)</f>
        <v>Norte</v>
      </c>
      <c r="C200">
        <v>2020</v>
      </c>
      <c r="D200" t="str">
        <f ca="1">VLOOKUP(RANDBETWEEN(1,4),Tabla2[],2,FALSE)</f>
        <v>4to Trimestre</v>
      </c>
      <c r="E200" t="str">
        <f ca="1">VLOOKUP(RANDBETWEEN(1,8),Tabla3[],2,FALSE)</f>
        <v>Laptops</v>
      </c>
      <c r="F200" s="15">
        <f ca="1">VLOOKUP(RANDBETWEEN(1,12),Tabla4[],2,FALSE)</f>
        <v>66150</v>
      </c>
      <c r="G200" s="15">
        <f ca="1">Tabladatos[[#This Row],[Ingresos]]*VLOOKUP(RANDBETWEEN(1,10),Tabla5[],2,FALSE)</f>
        <v>6615</v>
      </c>
      <c r="H200" s="15">
        <f ca="1">Tabladatos[[#This Row],[Ingresos]]-Tabladatos[[#This Row],[Costos]]</f>
        <v>59535</v>
      </c>
    </row>
    <row r="201" spans="1:8" ht="22.5" customHeight="1" x14ac:dyDescent="0.25">
      <c r="A201" t="s">
        <v>10</v>
      </c>
      <c r="B201" t="str">
        <f ca="1">VLOOKUP(RANDBETWEEN(1,3),Tabla1[],2,FALSE)</f>
        <v>Central</v>
      </c>
      <c r="C201">
        <v>2020</v>
      </c>
      <c r="D201" t="str">
        <f ca="1">VLOOKUP(RANDBETWEEN(1,4),Tabla2[],2,FALSE)</f>
        <v>3er Trimestre</v>
      </c>
      <c r="E201" t="str">
        <f ca="1">VLOOKUP(RANDBETWEEN(1,8),Tabla3[],2,FALSE)</f>
        <v>Tarjetas Wifi</v>
      </c>
      <c r="F201" s="15">
        <f ca="1">VLOOKUP(RANDBETWEEN(1,12),Tabla4[],2,FALSE)</f>
        <v>415765</v>
      </c>
      <c r="G201" s="15">
        <f ca="1">Tabladatos[[#This Row],[Ingresos]]*VLOOKUP(RANDBETWEEN(1,10),Tabla5[],2,FALSE)</f>
        <v>166306</v>
      </c>
      <c r="H201" s="15">
        <f ca="1">Tabladatos[[#This Row],[Ingresos]]-Tabladatos[[#This Row],[Costos]]</f>
        <v>249459</v>
      </c>
    </row>
    <row r="202" spans="1:8" ht="22.5" customHeight="1" x14ac:dyDescent="0.25">
      <c r="A202" t="s">
        <v>10</v>
      </c>
      <c r="B202" t="str">
        <f ca="1">VLOOKUP(RANDBETWEEN(1,3),Tabla1[],2,FALSE)</f>
        <v>Norte</v>
      </c>
      <c r="C202">
        <v>2020</v>
      </c>
      <c r="D202" t="str">
        <f ca="1">VLOOKUP(RANDBETWEEN(1,4),Tabla2[],2,FALSE)</f>
        <v>3er Trimestre</v>
      </c>
      <c r="E202" t="str">
        <f ca="1">VLOOKUP(RANDBETWEEN(1,8),Tabla3[],2,FALSE)</f>
        <v>Computadoras</v>
      </c>
      <c r="F202" s="15">
        <f ca="1">VLOOKUP(RANDBETWEEN(1,12),Tabla4[],2,FALSE)</f>
        <v>535990</v>
      </c>
      <c r="G202" s="15">
        <f ca="1">Tabladatos[[#This Row],[Ingresos]]*VLOOKUP(RANDBETWEEN(1,10),Tabla5[],2,FALSE)</f>
        <v>107198</v>
      </c>
      <c r="H202" s="15">
        <f ca="1">Tabladatos[[#This Row],[Ingresos]]-Tabladatos[[#This Row],[Costos]]</f>
        <v>428792</v>
      </c>
    </row>
    <row r="203" spans="1:8" ht="22.5" customHeight="1" x14ac:dyDescent="0.25">
      <c r="A203" t="s">
        <v>10</v>
      </c>
      <c r="B203" t="str">
        <f ca="1">VLOOKUP(RANDBETWEEN(1,3),Tabla1[],2,FALSE)</f>
        <v>Norte</v>
      </c>
      <c r="C203">
        <v>2020</v>
      </c>
      <c r="D203" t="str">
        <f ca="1">VLOOKUP(RANDBETWEEN(1,4),Tabla2[],2,FALSE)</f>
        <v>1er Trimestre</v>
      </c>
      <c r="E203" t="str">
        <f ca="1">VLOOKUP(RANDBETWEEN(1,8),Tabla3[],2,FALSE)</f>
        <v>Escáners</v>
      </c>
      <c r="F203" s="15">
        <f ca="1">VLOOKUP(RANDBETWEEN(1,12),Tabla4[],2,FALSE)</f>
        <v>490000</v>
      </c>
      <c r="G203" s="15">
        <f ca="1">Tabladatos[[#This Row],[Ingresos]]*VLOOKUP(RANDBETWEEN(1,10),Tabla5[],2,FALSE)</f>
        <v>196000</v>
      </c>
      <c r="H203" s="15">
        <f ca="1">Tabladatos[[#This Row],[Ingresos]]-Tabladatos[[#This Row],[Costos]]</f>
        <v>294000</v>
      </c>
    </row>
    <row r="204" spans="1:8" ht="22.5" customHeight="1" x14ac:dyDescent="0.25">
      <c r="A204" t="s">
        <v>10</v>
      </c>
      <c r="B204" t="str">
        <f ca="1">VLOOKUP(RANDBETWEEN(1,3),Tabla1[],2,FALSE)</f>
        <v>Central</v>
      </c>
      <c r="C204">
        <v>2020</v>
      </c>
      <c r="D204" t="str">
        <f ca="1">VLOOKUP(RANDBETWEEN(1,4),Tabla2[],2,FALSE)</f>
        <v>2do Trimestre</v>
      </c>
      <c r="E204" t="str">
        <f ca="1">VLOOKUP(RANDBETWEEN(1,8),Tabla3[],2,FALSE)</f>
        <v>Computadoras</v>
      </c>
      <c r="F204" s="15">
        <f ca="1">VLOOKUP(RANDBETWEEN(1,12),Tabla4[],2,FALSE)</f>
        <v>27300</v>
      </c>
      <c r="G204" s="15">
        <f ca="1">Tabladatos[[#This Row],[Ingresos]]*VLOOKUP(RANDBETWEEN(1,10),Tabla5[],2,FALSE)</f>
        <v>19110</v>
      </c>
      <c r="H204" s="15">
        <f ca="1">Tabladatos[[#This Row],[Ingresos]]-Tabladatos[[#This Row],[Costos]]</f>
        <v>8190</v>
      </c>
    </row>
    <row r="205" spans="1:8" ht="22.5" customHeight="1" x14ac:dyDescent="0.25">
      <c r="A205" t="s">
        <v>10</v>
      </c>
      <c r="B205" t="str">
        <f ca="1">VLOOKUP(RANDBETWEEN(1,3),Tabla1[],2,FALSE)</f>
        <v>Norte</v>
      </c>
      <c r="C205">
        <v>2020</v>
      </c>
      <c r="D205" t="str">
        <f ca="1">VLOOKUP(RANDBETWEEN(1,4),Tabla2[],2,FALSE)</f>
        <v>2do Trimestre</v>
      </c>
      <c r="E205" t="str">
        <f ca="1">VLOOKUP(RANDBETWEEN(1,8),Tabla3[],2,FALSE)</f>
        <v>Impresoras</v>
      </c>
      <c r="F205" s="15">
        <f ca="1">VLOOKUP(RANDBETWEEN(1,12),Tabla4[],2,FALSE)</f>
        <v>365285</v>
      </c>
      <c r="G205" s="15">
        <f ca="1">Tabladatos[[#This Row],[Ingresos]]*VLOOKUP(RANDBETWEEN(1,10),Tabla5[],2,FALSE)</f>
        <v>146114</v>
      </c>
      <c r="H205" s="15">
        <f ca="1">Tabladatos[[#This Row],[Ingresos]]-Tabladatos[[#This Row],[Costos]]</f>
        <v>219171</v>
      </c>
    </row>
    <row r="206" spans="1:8" ht="22.5" customHeight="1" x14ac:dyDescent="0.25">
      <c r="A206" t="s">
        <v>10</v>
      </c>
      <c r="B206" t="str">
        <f ca="1">VLOOKUP(RANDBETWEEN(1,3),Tabla1[],2,FALSE)</f>
        <v xml:space="preserve">Sur </v>
      </c>
      <c r="C206">
        <v>2020</v>
      </c>
      <c r="D206" t="str">
        <f ca="1">VLOOKUP(RANDBETWEEN(1,4),Tabla2[],2,FALSE)</f>
        <v>4to Trimestre</v>
      </c>
      <c r="E206" t="str">
        <f ca="1">VLOOKUP(RANDBETWEEN(1,8),Tabla3[],2,FALSE)</f>
        <v>Laptops</v>
      </c>
      <c r="F206" s="15">
        <f ca="1">VLOOKUP(RANDBETWEEN(1,12),Tabla4[],2,FALSE)</f>
        <v>120460</v>
      </c>
      <c r="G206" s="15">
        <f ca="1">Tabladatos[[#This Row],[Ingresos]]*VLOOKUP(RANDBETWEEN(1,10),Tabla5[],2,FALSE)</f>
        <v>36138</v>
      </c>
      <c r="H206" s="15">
        <f ca="1">Tabladatos[[#This Row],[Ingresos]]-Tabladatos[[#This Row],[Costos]]</f>
        <v>84322</v>
      </c>
    </row>
    <row r="207" spans="1:8" ht="22.5" customHeight="1" x14ac:dyDescent="0.25">
      <c r="A207" t="s">
        <v>10</v>
      </c>
      <c r="B207" t="str">
        <f ca="1">VLOOKUP(RANDBETWEEN(1,3),Tabla1[],2,FALSE)</f>
        <v>Norte</v>
      </c>
      <c r="C207">
        <v>2020</v>
      </c>
      <c r="D207" t="str">
        <f ca="1">VLOOKUP(RANDBETWEEN(1,4),Tabla2[],2,FALSE)</f>
        <v>4to Trimestre</v>
      </c>
      <c r="E207" t="str">
        <f ca="1">VLOOKUP(RANDBETWEEN(1,8),Tabla3[],2,FALSE)</f>
        <v>Memorias USB</v>
      </c>
      <c r="F207" s="15">
        <f ca="1">VLOOKUP(RANDBETWEEN(1,12),Tabla4[],2,FALSE)</f>
        <v>535990</v>
      </c>
      <c r="G207" s="15">
        <f ca="1">Tabladatos[[#This Row],[Ingresos]]*VLOOKUP(RANDBETWEEN(1,10),Tabla5[],2,FALSE)</f>
        <v>375193</v>
      </c>
      <c r="H207" s="15">
        <f ca="1">Tabladatos[[#This Row],[Ingresos]]-Tabladatos[[#This Row],[Costos]]</f>
        <v>160797</v>
      </c>
    </row>
    <row r="208" spans="1:8" ht="22.5" customHeight="1" x14ac:dyDescent="0.25">
      <c r="A208" t="s">
        <v>11</v>
      </c>
      <c r="B208" t="str">
        <f ca="1">VLOOKUP(RANDBETWEEN(1,3),Tabla1[],2,FALSE)</f>
        <v>Norte</v>
      </c>
      <c r="C208">
        <v>2020</v>
      </c>
      <c r="D208" t="str">
        <f ca="1">VLOOKUP(RANDBETWEEN(1,4),Tabla2[],2,FALSE)</f>
        <v>3er Trimestre</v>
      </c>
      <c r="E208" t="str">
        <f ca="1">VLOOKUP(RANDBETWEEN(1,8),Tabla3[],2,FALSE)</f>
        <v>Impresoras</v>
      </c>
      <c r="F208" s="15">
        <f ca="1">VLOOKUP(RANDBETWEEN(1,12),Tabla4[],2,FALSE)</f>
        <v>120460</v>
      </c>
      <c r="G208" s="15">
        <f ca="1">Tabladatos[[#This Row],[Ingresos]]*VLOOKUP(RANDBETWEEN(1,10),Tabla5[],2,FALSE)</f>
        <v>72276</v>
      </c>
      <c r="H208" s="15">
        <f ca="1">Tabladatos[[#This Row],[Ingresos]]-Tabladatos[[#This Row],[Costos]]</f>
        <v>48184</v>
      </c>
    </row>
    <row r="209" spans="1:8" ht="22.5" customHeight="1" x14ac:dyDescent="0.25">
      <c r="A209" t="s">
        <v>11</v>
      </c>
      <c r="B209" t="str">
        <f ca="1">VLOOKUP(RANDBETWEEN(1,3),Tabla1[],2,FALSE)</f>
        <v xml:space="preserve">Sur </v>
      </c>
      <c r="C209">
        <v>2020</v>
      </c>
      <c r="D209" t="str">
        <f ca="1">VLOOKUP(RANDBETWEEN(1,4),Tabla2[],2,FALSE)</f>
        <v>1er Trimestre</v>
      </c>
      <c r="E209" t="str">
        <f ca="1">VLOOKUP(RANDBETWEEN(1,8),Tabla3[],2,FALSE)</f>
        <v>Monitores</v>
      </c>
      <c r="F209" s="15">
        <f ca="1">VLOOKUP(RANDBETWEEN(1,12),Tabla4[],2,FALSE)</f>
        <v>415765</v>
      </c>
      <c r="G209" s="15">
        <f ca="1">Tabladatos[[#This Row],[Ingresos]]*VLOOKUP(RANDBETWEEN(1,10),Tabla5[],2,FALSE)</f>
        <v>103941.25</v>
      </c>
      <c r="H209" s="15">
        <f ca="1">Tabladatos[[#This Row],[Ingresos]]-Tabladatos[[#This Row],[Costos]]</f>
        <v>311823.75</v>
      </c>
    </row>
    <row r="210" spans="1:8" ht="22.5" customHeight="1" x14ac:dyDescent="0.25">
      <c r="A210" t="s">
        <v>11</v>
      </c>
      <c r="B210" t="str">
        <f ca="1">VLOOKUP(RANDBETWEEN(1,3),Tabla1[],2,FALSE)</f>
        <v>Norte</v>
      </c>
      <c r="C210">
        <v>2020</v>
      </c>
      <c r="D210" t="str">
        <f ca="1">VLOOKUP(RANDBETWEEN(1,4),Tabla2[],2,FALSE)</f>
        <v>1er Trimestre</v>
      </c>
      <c r="E210" t="str">
        <f ca="1">VLOOKUP(RANDBETWEEN(1,8),Tabla3[],2,FALSE)</f>
        <v>Impresoras</v>
      </c>
      <c r="F210" s="15">
        <f ca="1">VLOOKUP(RANDBETWEEN(1,12),Tabla4[],2,FALSE)</f>
        <v>599800</v>
      </c>
      <c r="G210" s="15">
        <f ca="1">Tabladatos[[#This Row],[Ingresos]]*VLOOKUP(RANDBETWEEN(1,10),Tabla5[],2,FALSE)</f>
        <v>479840</v>
      </c>
      <c r="H210" s="15">
        <f ca="1">Tabladatos[[#This Row],[Ingresos]]-Tabladatos[[#This Row],[Costos]]</f>
        <v>119960</v>
      </c>
    </row>
    <row r="211" spans="1:8" ht="22.5" customHeight="1" x14ac:dyDescent="0.25">
      <c r="A211" t="s">
        <v>11</v>
      </c>
      <c r="B211" t="str">
        <f ca="1">VLOOKUP(RANDBETWEEN(1,3),Tabla1[],2,FALSE)</f>
        <v>Central</v>
      </c>
      <c r="C211">
        <v>2020</v>
      </c>
      <c r="D211" t="str">
        <f ca="1">VLOOKUP(RANDBETWEEN(1,4),Tabla2[],2,FALSE)</f>
        <v>2do Trimestre</v>
      </c>
      <c r="E211" t="str">
        <f ca="1">VLOOKUP(RANDBETWEEN(1,8),Tabla3[],2,FALSE)</f>
        <v>Memorias USB</v>
      </c>
      <c r="F211" s="15">
        <f ca="1">VLOOKUP(RANDBETWEEN(1,12),Tabla4[],2,FALSE)</f>
        <v>228990</v>
      </c>
      <c r="G211" s="15">
        <f ca="1">Tabladatos[[#This Row],[Ingresos]]*VLOOKUP(RANDBETWEEN(1,10),Tabla5[],2,FALSE)</f>
        <v>22899</v>
      </c>
      <c r="H211" s="15">
        <f ca="1">Tabladatos[[#This Row],[Ingresos]]-Tabladatos[[#This Row],[Costos]]</f>
        <v>206091</v>
      </c>
    </row>
    <row r="212" spans="1:8" ht="22.5" customHeight="1" x14ac:dyDescent="0.25">
      <c r="A212" t="s">
        <v>11</v>
      </c>
      <c r="B212" t="str">
        <f ca="1">VLOOKUP(RANDBETWEEN(1,3),Tabla1[],2,FALSE)</f>
        <v>Central</v>
      </c>
      <c r="C212">
        <v>2020</v>
      </c>
      <c r="D212" t="str">
        <f ca="1">VLOOKUP(RANDBETWEEN(1,4),Tabla2[],2,FALSE)</f>
        <v>1er Trimestre</v>
      </c>
      <c r="E212" t="str">
        <f ca="1">VLOOKUP(RANDBETWEEN(1,8),Tabla3[],2,FALSE)</f>
        <v>Computadoras</v>
      </c>
      <c r="F212" s="15">
        <f ca="1">VLOOKUP(RANDBETWEEN(1,12),Tabla4[],2,FALSE)</f>
        <v>300000</v>
      </c>
      <c r="G212" s="15">
        <f ca="1">Tabladatos[[#This Row],[Ingresos]]*VLOOKUP(RANDBETWEEN(1,10),Tabla5[],2,FALSE)</f>
        <v>45000</v>
      </c>
      <c r="H212" s="15">
        <f ca="1">Tabladatos[[#This Row],[Ingresos]]-Tabladatos[[#This Row],[Costos]]</f>
        <v>255000</v>
      </c>
    </row>
    <row r="213" spans="1:8" ht="22.5" customHeight="1" x14ac:dyDescent="0.25">
      <c r="A213" t="s">
        <v>11</v>
      </c>
      <c r="B213" t="str">
        <f ca="1">VLOOKUP(RANDBETWEEN(1,3),Tabla1[],2,FALSE)</f>
        <v xml:space="preserve">Sur </v>
      </c>
      <c r="C213">
        <v>2020</v>
      </c>
      <c r="D213" t="str">
        <f ca="1">VLOOKUP(RANDBETWEEN(1,4),Tabla2[],2,FALSE)</f>
        <v>3er Trimestre</v>
      </c>
      <c r="E213" t="str">
        <f ca="1">VLOOKUP(RANDBETWEEN(1,8),Tabla3[],2,FALSE)</f>
        <v>Impresoras</v>
      </c>
      <c r="F213" s="15">
        <f ca="1">VLOOKUP(RANDBETWEEN(1,12),Tabla4[],2,FALSE)</f>
        <v>415765</v>
      </c>
      <c r="G213" s="15">
        <f ca="1">Tabladatos[[#This Row],[Ingresos]]*VLOOKUP(RANDBETWEEN(1,10),Tabla5[],2,FALSE)</f>
        <v>41576.5</v>
      </c>
      <c r="H213" s="15">
        <f ca="1">Tabladatos[[#This Row],[Ingresos]]-Tabladatos[[#This Row],[Costos]]</f>
        <v>374188.5</v>
      </c>
    </row>
    <row r="214" spans="1:8" ht="22.5" customHeight="1" x14ac:dyDescent="0.25">
      <c r="A214" t="s">
        <v>11</v>
      </c>
      <c r="B214" t="str">
        <f ca="1">VLOOKUP(RANDBETWEEN(1,3),Tabla1[],2,FALSE)</f>
        <v>Central</v>
      </c>
      <c r="C214">
        <v>2020</v>
      </c>
      <c r="D214" t="str">
        <f ca="1">VLOOKUP(RANDBETWEEN(1,4),Tabla2[],2,FALSE)</f>
        <v>2do Trimestre</v>
      </c>
      <c r="E214" t="str">
        <f ca="1">VLOOKUP(RANDBETWEEN(1,8),Tabla3[],2,FALSE)</f>
        <v>Escáners</v>
      </c>
      <c r="F214" s="15">
        <f ca="1">VLOOKUP(RANDBETWEEN(1,12),Tabla4[],2,FALSE)</f>
        <v>66150</v>
      </c>
      <c r="G214" s="15">
        <f ca="1">Tabladatos[[#This Row],[Ingresos]]*VLOOKUP(RANDBETWEEN(1,10),Tabla5[],2,FALSE)</f>
        <v>9922.5</v>
      </c>
      <c r="H214" s="15">
        <f ca="1">Tabladatos[[#This Row],[Ingresos]]-Tabladatos[[#This Row],[Costos]]</f>
        <v>56227.5</v>
      </c>
    </row>
    <row r="215" spans="1:8" ht="22.5" customHeight="1" x14ac:dyDescent="0.25">
      <c r="A215" t="s">
        <v>11</v>
      </c>
      <c r="B215" t="str">
        <f ca="1">VLOOKUP(RANDBETWEEN(1,3),Tabla1[],2,FALSE)</f>
        <v>Central</v>
      </c>
      <c r="C215">
        <v>2020</v>
      </c>
      <c r="D215" t="str">
        <f ca="1">VLOOKUP(RANDBETWEEN(1,4),Tabla2[],2,FALSE)</f>
        <v>2do Trimestre</v>
      </c>
      <c r="E215" t="str">
        <f ca="1">VLOOKUP(RANDBETWEEN(1,8),Tabla3[],2,FALSE)</f>
        <v>Impresoras</v>
      </c>
      <c r="F215" s="15">
        <f ca="1">VLOOKUP(RANDBETWEEN(1,12),Tabla4[],2,FALSE)</f>
        <v>95945</v>
      </c>
      <c r="G215" s="15">
        <f ca="1">Tabladatos[[#This Row],[Ingresos]]*VLOOKUP(RANDBETWEEN(1,10),Tabla5[],2,FALSE)</f>
        <v>57567</v>
      </c>
      <c r="H215" s="15">
        <f ca="1">Tabladatos[[#This Row],[Ingresos]]-Tabladatos[[#This Row],[Costos]]</f>
        <v>38378</v>
      </c>
    </row>
    <row r="216" spans="1:8" ht="22.5" customHeight="1" x14ac:dyDescent="0.25">
      <c r="A216" t="s">
        <v>11</v>
      </c>
      <c r="B216" t="str">
        <f ca="1">VLOOKUP(RANDBETWEEN(1,3),Tabla1[],2,FALSE)</f>
        <v>Central</v>
      </c>
      <c r="C216">
        <v>2020</v>
      </c>
      <c r="D216" t="str">
        <f ca="1">VLOOKUP(RANDBETWEEN(1,4),Tabla2[],2,FALSE)</f>
        <v>1er Trimestre</v>
      </c>
      <c r="E216" t="str">
        <f ca="1">VLOOKUP(RANDBETWEEN(1,8),Tabla3[],2,FALSE)</f>
        <v>Monitores</v>
      </c>
      <c r="F216" s="15">
        <f ca="1">VLOOKUP(RANDBETWEEN(1,12),Tabla4[],2,FALSE)</f>
        <v>490000</v>
      </c>
      <c r="G216" s="15">
        <f ca="1">Tabladatos[[#This Row],[Ingresos]]*VLOOKUP(RANDBETWEEN(1,10),Tabla5[],2,FALSE)</f>
        <v>49000</v>
      </c>
      <c r="H216" s="15">
        <f ca="1">Tabladatos[[#This Row],[Ingresos]]-Tabladatos[[#This Row],[Costos]]</f>
        <v>441000</v>
      </c>
    </row>
    <row r="217" spans="1:8" ht="22.5" customHeight="1" x14ac:dyDescent="0.25">
      <c r="A217" t="s">
        <v>11</v>
      </c>
      <c r="B217" t="str">
        <f ca="1">VLOOKUP(RANDBETWEEN(1,3),Tabla1[],2,FALSE)</f>
        <v>Central</v>
      </c>
      <c r="C217">
        <v>2020</v>
      </c>
      <c r="D217" t="str">
        <f ca="1">VLOOKUP(RANDBETWEEN(1,4),Tabla2[],2,FALSE)</f>
        <v>1er Trimestre</v>
      </c>
      <c r="E217" t="str">
        <f ca="1">VLOOKUP(RANDBETWEEN(1,8),Tabla3[],2,FALSE)</f>
        <v>Escáners</v>
      </c>
      <c r="F217" s="15">
        <f ca="1">VLOOKUP(RANDBETWEEN(1,12),Tabla4[],2,FALSE)</f>
        <v>120460</v>
      </c>
      <c r="G217" s="15">
        <f ca="1">Tabladatos[[#This Row],[Ingresos]]*VLOOKUP(RANDBETWEEN(1,10),Tabla5[],2,FALSE)</f>
        <v>96368</v>
      </c>
      <c r="H217" s="15">
        <f ca="1">Tabladatos[[#This Row],[Ingresos]]-Tabladatos[[#This Row],[Costos]]</f>
        <v>24092</v>
      </c>
    </row>
    <row r="218" spans="1:8" ht="22.5" customHeight="1" x14ac:dyDescent="0.25">
      <c r="A218" t="s">
        <v>11</v>
      </c>
      <c r="B218" t="str">
        <f ca="1">VLOOKUP(RANDBETWEEN(1,3),Tabla1[],2,FALSE)</f>
        <v>Norte</v>
      </c>
      <c r="C218">
        <v>2020</v>
      </c>
      <c r="D218" t="str">
        <f ca="1">VLOOKUP(RANDBETWEEN(1,4),Tabla2[],2,FALSE)</f>
        <v>1er Trimestre</v>
      </c>
      <c r="E218" t="str">
        <f ca="1">VLOOKUP(RANDBETWEEN(1,8),Tabla3[],2,FALSE)</f>
        <v>SSD</v>
      </c>
      <c r="F218" s="15">
        <f ca="1">VLOOKUP(RANDBETWEEN(1,12),Tabla4[],2,FALSE)</f>
        <v>490000</v>
      </c>
      <c r="G218" s="15">
        <f ca="1">Tabladatos[[#This Row],[Ingresos]]*VLOOKUP(RANDBETWEEN(1,10),Tabla5[],2,FALSE)</f>
        <v>73500</v>
      </c>
      <c r="H218" s="15">
        <f ca="1">Tabladatos[[#This Row],[Ingresos]]-Tabladatos[[#This Row],[Costos]]</f>
        <v>416500</v>
      </c>
    </row>
    <row r="219" spans="1:8" ht="22.5" customHeight="1" x14ac:dyDescent="0.25">
      <c r="A219" t="s">
        <v>11</v>
      </c>
      <c r="B219" t="str">
        <f ca="1">VLOOKUP(RANDBETWEEN(1,3),Tabla1[],2,FALSE)</f>
        <v>Central</v>
      </c>
      <c r="C219">
        <v>2020</v>
      </c>
      <c r="D219" t="str">
        <f ca="1">VLOOKUP(RANDBETWEEN(1,4),Tabla2[],2,FALSE)</f>
        <v>2do Trimestre</v>
      </c>
      <c r="E219" t="str">
        <f ca="1">VLOOKUP(RANDBETWEEN(1,8),Tabla3[],2,FALSE)</f>
        <v>Laptops</v>
      </c>
      <c r="F219" s="15">
        <f ca="1">VLOOKUP(RANDBETWEEN(1,12),Tabla4[],2,FALSE)</f>
        <v>95945</v>
      </c>
      <c r="G219" s="15">
        <f ca="1">Tabladatos[[#This Row],[Ingresos]]*VLOOKUP(RANDBETWEEN(1,10),Tabla5[],2,FALSE)</f>
        <v>47972.5</v>
      </c>
      <c r="H219" s="15">
        <f ca="1">Tabladatos[[#This Row],[Ingresos]]-Tabladatos[[#This Row],[Costos]]</f>
        <v>47972.5</v>
      </c>
    </row>
    <row r="220" spans="1:8" ht="22.5" customHeight="1" x14ac:dyDescent="0.25">
      <c r="A220" t="s">
        <v>11</v>
      </c>
      <c r="B220" t="str">
        <f ca="1">VLOOKUP(RANDBETWEEN(1,3),Tabla1[],2,FALSE)</f>
        <v xml:space="preserve">Sur </v>
      </c>
      <c r="C220">
        <v>2020</v>
      </c>
      <c r="D220" t="str">
        <f ca="1">VLOOKUP(RANDBETWEEN(1,4),Tabla2[],2,FALSE)</f>
        <v>4to Trimestre</v>
      </c>
      <c r="E220" t="str">
        <f ca="1">VLOOKUP(RANDBETWEEN(1,8),Tabla3[],2,FALSE)</f>
        <v>Memorias USB</v>
      </c>
      <c r="F220" s="15">
        <f ca="1">VLOOKUP(RANDBETWEEN(1,12),Tabla4[],2,FALSE)</f>
        <v>66150</v>
      </c>
      <c r="G220" s="15">
        <f ca="1">Tabladatos[[#This Row],[Ingresos]]*VLOOKUP(RANDBETWEEN(1,10),Tabla5[],2,FALSE)</f>
        <v>13230</v>
      </c>
      <c r="H220" s="15">
        <f ca="1">Tabladatos[[#This Row],[Ingresos]]-Tabladatos[[#This Row],[Costos]]</f>
        <v>52920</v>
      </c>
    </row>
    <row r="221" spans="1:8" ht="22.5" customHeight="1" x14ac:dyDescent="0.25">
      <c r="A221" t="s">
        <v>11</v>
      </c>
      <c r="B221" t="str">
        <f ca="1">VLOOKUP(RANDBETWEEN(1,3),Tabla1[],2,FALSE)</f>
        <v>Norte</v>
      </c>
      <c r="C221">
        <v>2020</v>
      </c>
      <c r="D221" t="str">
        <f ca="1">VLOOKUP(RANDBETWEEN(1,4),Tabla2[],2,FALSE)</f>
        <v>1er Trimestre</v>
      </c>
      <c r="E221" t="str">
        <f ca="1">VLOOKUP(RANDBETWEEN(1,8),Tabla3[],2,FALSE)</f>
        <v>Escáners</v>
      </c>
      <c r="F221" s="15">
        <f ca="1">VLOOKUP(RANDBETWEEN(1,12),Tabla4[],2,FALSE)</f>
        <v>365285</v>
      </c>
      <c r="G221" s="15">
        <f ca="1">Tabladatos[[#This Row],[Ingresos]]*VLOOKUP(RANDBETWEEN(1,10),Tabla5[],2,FALSE)</f>
        <v>219171</v>
      </c>
      <c r="H221" s="15">
        <f ca="1">Tabladatos[[#This Row],[Ingresos]]-Tabladatos[[#This Row],[Costos]]</f>
        <v>146114</v>
      </c>
    </row>
    <row r="222" spans="1:8" ht="22.5" customHeight="1" x14ac:dyDescent="0.25">
      <c r="A222" t="s">
        <v>11</v>
      </c>
      <c r="B222" t="str">
        <f ca="1">VLOOKUP(RANDBETWEEN(1,3),Tabla1[],2,FALSE)</f>
        <v>Central</v>
      </c>
      <c r="C222">
        <v>2020</v>
      </c>
      <c r="D222" t="str">
        <f ca="1">VLOOKUP(RANDBETWEEN(1,4),Tabla2[],2,FALSE)</f>
        <v>2do Trimestre</v>
      </c>
      <c r="E222" t="str">
        <f ca="1">VLOOKUP(RANDBETWEEN(1,8),Tabla3[],2,FALSE)</f>
        <v>SSD</v>
      </c>
      <c r="F222" s="15">
        <f ca="1">VLOOKUP(RANDBETWEEN(1,12),Tabla4[],2,FALSE)</f>
        <v>95945</v>
      </c>
      <c r="G222" s="15">
        <f ca="1">Tabladatos[[#This Row],[Ingresos]]*VLOOKUP(RANDBETWEEN(1,10),Tabla5[],2,FALSE)</f>
        <v>14391.75</v>
      </c>
      <c r="H222" s="15">
        <f ca="1">Tabladatos[[#This Row],[Ingresos]]-Tabladatos[[#This Row],[Costos]]</f>
        <v>81553.25</v>
      </c>
    </row>
    <row r="223" spans="1:8" ht="22.5" customHeight="1" x14ac:dyDescent="0.25">
      <c r="A223" t="s">
        <v>11</v>
      </c>
      <c r="B223" t="str">
        <f ca="1">VLOOKUP(RANDBETWEEN(1,3),Tabla1[],2,FALSE)</f>
        <v>Norte</v>
      </c>
      <c r="C223">
        <v>2020</v>
      </c>
      <c r="D223" t="str">
        <f ca="1">VLOOKUP(RANDBETWEEN(1,4),Tabla2[],2,FALSE)</f>
        <v>4to Trimestre</v>
      </c>
      <c r="E223" t="str">
        <f ca="1">VLOOKUP(RANDBETWEEN(1,8),Tabla3[],2,FALSE)</f>
        <v>Impresoras</v>
      </c>
      <c r="F223" s="15">
        <f ca="1">VLOOKUP(RANDBETWEEN(1,12),Tabla4[],2,FALSE)</f>
        <v>228990</v>
      </c>
      <c r="G223" s="15">
        <f ca="1">Tabladatos[[#This Row],[Ingresos]]*VLOOKUP(RANDBETWEEN(1,10),Tabla5[],2,FALSE)</f>
        <v>34348.5</v>
      </c>
      <c r="H223" s="15">
        <f ca="1">Tabladatos[[#This Row],[Ingresos]]-Tabladatos[[#This Row],[Costos]]</f>
        <v>194641.5</v>
      </c>
    </row>
    <row r="224" spans="1:8" ht="22.5" customHeight="1" x14ac:dyDescent="0.25">
      <c r="A224" t="s">
        <v>11</v>
      </c>
      <c r="B224" t="str">
        <f ca="1">VLOOKUP(RANDBETWEEN(1,3),Tabla1[],2,FALSE)</f>
        <v xml:space="preserve">Sur </v>
      </c>
      <c r="C224">
        <v>2020</v>
      </c>
      <c r="D224" t="str">
        <f ca="1">VLOOKUP(RANDBETWEEN(1,4),Tabla2[],2,FALSE)</f>
        <v>4to Trimestre</v>
      </c>
      <c r="E224" t="str">
        <f ca="1">VLOOKUP(RANDBETWEEN(1,8),Tabla3[],2,FALSE)</f>
        <v>Laptops</v>
      </c>
      <c r="F224" s="15">
        <f ca="1">VLOOKUP(RANDBETWEEN(1,12),Tabla4[],2,FALSE)</f>
        <v>120460</v>
      </c>
      <c r="G224" s="15">
        <f ca="1">Tabladatos[[#This Row],[Ingresos]]*VLOOKUP(RANDBETWEEN(1,10),Tabla5[],2,FALSE)</f>
        <v>84322</v>
      </c>
      <c r="H224" s="15">
        <f ca="1">Tabladatos[[#This Row],[Ingresos]]-Tabladatos[[#This Row],[Costos]]</f>
        <v>36138</v>
      </c>
    </row>
    <row r="225" spans="1:8" ht="22.5" customHeight="1" x14ac:dyDescent="0.25">
      <c r="A225" t="s">
        <v>11</v>
      </c>
      <c r="B225" t="str">
        <f ca="1">VLOOKUP(RANDBETWEEN(1,3),Tabla1[],2,FALSE)</f>
        <v>Central</v>
      </c>
      <c r="C225">
        <v>2020</v>
      </c>
      <c r="D225" t="str">
        <f ca="1">VLOOKUP(RANDBETWEEN(1,4),Tabla2[],2,FALSE)</f>
        <v>1er Trimestre</v>
      </c>
      <c r="E225" t="str">
        <f ca="1">VLOOKUP(RANDBETWEEN(1,8),Tabla3[],2,FALSE)</f>
        <v>Monitores</v>
      </c>
      <c r="F225" s="15">
        <f ca="1">VLOOKUP(RANDBETWEEN(1,12),Tabla4[],2,FALSE)</f>
        <v>170000</v>
      </c>
      <c r="G225" s="15">
        <f ca="1">Tabladatos[[#This Row],[Ingresos]]*VLOOKUP(RANDBETWEEN(1,10),Tabla5[],2,FALSE)</f>
        <v>25500</v>
      </c>
      <c r="H225" s="15">
        <f ca="1">Tabladatos[[#This Row],[Ingresos]]-Tabladatos[[#This Row],[Costos]]</f>
        <v>144500</v>
      </c>
    </row>
    <row r="226" spans="1:8" ht="22.5" customHeight="1" x14ac:dyDescent="0.25">
      <c r="A226" t="s">
        <v>11</v>
      </c>
      <c r="B226" t="str">
        <f ca="1">VLOOKUP(RANDBETWEEN(1,3),Tabla1[],2,FALSE)</f>
        <v>Norte</v>
      </c>
      <c r="C226">
        <v>2020</v>
      </c>
      <c r="D226" t="str">
        <f ca="1">VLOOKUP(RANDBETWEEN(1,4),Tabla2[],2,FALSE)</f>
        <v>2do Trimestre</v>
      </c>
      <c r="E226" t="str">
        <f ca="1">VLOOKUP(RANDBETWEEN(1,8),Tabla3[],2,FALSE)</f>
        <v>Memorias USB</v>
      </c>
      <c r="F226" s="15">
        <f ca="1">VLOOKUP(RANDBETWEEN(1,12),Tabla4[],2,FALSE)</f>
        <v>300000</v>
      </c>
      <c r="G226" s="15">
        <f ca="1">Tabladatos[[#This Row],[Ingresos]]*VLOOKUP(RANDBETWEEN(1,10),Tabla5[],2,FALSE)</f>
        <v>120000</v>
      </c>
      <c r="H226" s="15">
        <f ca="1">Tabladatos[[#This Row],[Ingresos]]-Tabladatos[[#This Row],[Costos]]</f>
        <v>180000</v>
      </c>
    </row>
    <row r="227" spans="1:8" ht="22.5" customHeight="1" x14ac:dyDescent="0.25">
      <c r="A227" t="s">
        <v>11</v>
      </c>
      <c r="B227" t="str">
        <f ca="1">VLOOKUP(RANDBETWEEN(1,3),Tabla1[],2,FALSE)</f>
        <v>Central</v>
      </c>
      <c r="C227">
        <v>2020</v>
      </c>
      <c r="D227" t="str">
        <f ca="1">VLOOKUP(RANDBETWEEN(1,4),Tabla2[],2,FALSE)</f>
        <v>2do Trimestre</v>
      </c>
      <c r="E227" t="str">
        <f ca="1">VLOOKUP(RANDBETWEEN(1,8),Tabla3[],2,FALSE)</f>
        <v>Monitores</v>
      </c>
      <c r="F227" s="15">
        <f ca="1">VLOOKUP(RANDBETWEEN(1,12),Tabla4[],2,FALSE)</f>
        <v>95945</v>
      </c>
      <c r="G227" s="15">
        <f ca="1">Tabladatos[[#This Row],[Ingresos]]*VLOOKUP(RANDBETWEEN(1,10),Tabla5[],2,FALSE)</f>
        <v>9594.5</v>
      </c>
      <c r="H227" s="15">
        <f ca="1">Tabladatos[[#This Row],[Ingresos]]-Tabladatos[[#This Row],[Costos]]</f>
        <v>86350.5</v>
      </c>
    </row>
    <row r="228" spans="1:8" ht="22.5" customHeight="1" x14ac:dyDescent="0.25">
      <c r="A228" t="s">
        <v>11</v>
      </c>
      <c r="B228" t="str">
        <f ca="1">VLOOKUP(RANDBETWEEN(1,3),Tabla1[],2,FALSE)</f>
        <v>Central</v>
      </c>
      <c r="C228">
        <v>2020</v>
      </c>
      <c r="D228" t="str">
        <f ca="1">VLOOKUP(RANDBETWEEN(1,4),Tabla2[],2,FALSE)</f>
        <v>3er Trimestre</v>
      </c>
      <c r="E228" t="str">
        <f ca="1">VLOOKUP(RANDBETWEEN(1,8),Tabla3[],2,FALSE)</f>
        <v>Computadoras</v>
      </c>
      <c r="F228" s="15">
        <f ca="1">VLOOKUP(RANDBETWEEN(1,12),Tabla4[],2,FALSE)</f>
        <v>170000</v>
      </c>
      <c r="G228" s="15">
        <f ca="1">Tabladatos[[#This Row],[Ingresos]]*VLOOKUP(RANDBETWEEN(1,10),Tabla5[],2,FALSE)</f>
        <v>34000</v>
      </c>
      <c r="H228" s="15">
        <f ca="1">Tabladatos[[#This Row],[Ingresos]]-Tabladatos[[#This Row],[Costos]]</f>
        <v>136000</v>
      </c>
    </row>
    <row r="229" spans="1:8" ht="22.5" customHeight="1" x14ac:dyDescent="0.25">
      <c r="A229" t="s">
        <v>11</v>
      </c>
      <c r="B229" t="str">
        <f ca="1">VLOOKUP(RANDBETWEEN(1,3),Tabla1[],2,FALSE)</f>
        <v>Norte</v>
      </c>
      <c r="C229">
        <v>2020</v>
      </c>
      <c r="D229" t="str">
        <f ca="1">VLOOKUP(RANDBETWEEN(1,4),Tabla2[],2,FALSE)</f>
        <v>2do Trimestre</v>
      </c>
      <c r="E229" t="str">
        <f ca="1">VLOOKUP(RANDBETWEEN(1,8),Tabla3[],2,FALSE)</f>
        <v>Monitores</v>
      </c>
      <c r="F229" s="15">
        <f ca="1">VLOOKUP(RANDBETWEEN(1,12),Tabla4[],2,FALSE)</f>
        <v>490000</v>
      </c>
      <c r="G229" s="15">
        <f ca="1">Tabladatos[[#This Row],[Ingresos]]*VLOOKUP(RANDBETWEEN(1,10),Tabla5[],2,FALSE)</f>
        <v>245000</v>
      </c>
      <c r="H229" s="15">
        <f ca="1">Tabladatos[[#This Row],[Ingresos]]-Tabladatos[[#This Row],[Costos]]</f>
        <v>245000</v>
      </c>
    </row>
    <row r="230" spans="1:8" ht="22.5" customHeight="1" x14ac:dyDescent="0.25">
      <c r="A230" t="s">
        <v>11</v>
      </c>
      <c r="B230" t="str">
        <f ca="1">VLOOKUP(RANDBETWEEN(1,3),Tabla1[],2,FALSE)</f>
        <v>Central</v>
      </c>
      <c r="C230">
        <v>2020</v>
      </c>
      <c r="D230" t="str">
        <f ca="1">VLOOKUP(RANDBETWEEN(1,4),Tabla2[],2,FALSE)</f>
        <v>3er Trimestre</v>
      </c>
      <c r="E230" t="str">
        <f ca="1">VLOOKUP(RANDBETWEEN(1,8),Tabla3[],2,FALSE)</f>
        <v>Monitores</v>
      </c>
      <c r="F230" s="15">
        <f ca="1">VLOOKUP(RANDBETWEEN(1,12),Tabla4[],2,FALSE)</f>
        <v>66150</v>
      </c>
      <c r="G230" s="15">
        <f ca="1">Tabladatos[[#This Row],[Ingresos]]*VLOOKUP(RANDBETWEEN(1,10),Tabla5[],2,FALSE)</f>
        <v>16537.5</v>
      </c>
      <c r="H230" s="15">
        <f ca="1">Tabladatos[[#This Row],[Ingresos]]-Tabladatos[[#This Row],[Costos]]</f>
        <v>49612.5</v>
      </c>
    </row>
    <row r="231" spans="1:8" ht="22.5" customHeight="1" x14ac:dyDescent="0.25">
      <c r="A231" t="s">
        <v>11</v>
      </c>
      <c r="B231" t="str">
        <f ca="1">VLOOKUP(RANDBETWEEN(1,3),Tabla1[],2,FALSE)</f>
        <v xml:space="preserve">Sur </v>
      </c>
      <c r="C231">
        <v>2020</v>
      </c>
      <c r="D231" t="str">
        <f ca="1">VLOOKUP(RANDBETWEEN(1,4),Tabla2[],2,FALSE)</f>
        <v>1er Trimestre</v>
      </c>
      <c r="E231" t="str">
        <f ca="1">VLOOKUP(RANDBETWEEN(1,8),Tabla3[],2,FALSE)</f>
        <v>Tarjetas Wifi</v>
      </c>
      <c r="F231" s="15">
        <f ca="1">VLOOKUP(RANDBETWEEN(1,12),Tabla4[],2,FALSE)</f>
        <v>95945</v>
      </c>
      <c r="G231" s="15">
        <f ca="1">Tabladatos[[#This Row],[Ingresos]]*VLOOKUP(RANDBETWEEN(1,10),Tabla5[],2,FALSE)</f>
        <v>28783.5</v>
      </c>
      <c r="H231" s="15">
        <f ca="1">Tabladatos[[#This Row],[Ingresos]]-Tabladatos[[#This Row],[Costos]]</f>
        <v>67161.5</v>
      </c>
    </row>
    <row r="232" spans="1:8" ht="22.5" customHeight="1" x14ac:dyDescent="0.25">
      <c r="A232" t="s">
        <v>12</v>
      </c>
      <c r="B232" t="str">
        <f ca="1">VLOOKUP(RANDBETWEEN(1,3),Tabla1[],2,FALSE)</f>
        <v>Norte</v>
      </c>
      <c r="C232">
        <v>2020</v>
      </c>
      <c r="D232" t="str">
        <f ca="1">VLOOKUP(RANDBETWEEN(1,4),Tabla2[],2,FALSE)</f>
        <v>2do Trimestre</v>
      </c>
      <c r="E232" t="str">
        <f ca="1">VLOOKUP(RANDBETWEEN(1,8),Tabla3[],2,FALSE)</f>
        <v>Memorias USB</v>
      </c>
      <c r="F232" s="15">
        <f ca="1">VLOOKUP(RANDBETWEEN(1,12),Tabla4[],2,FALSE)</f>
        <v>27300</v>
      </c>
      <c r="G232" s="15">
        <f ca="1">Tabladatos[[#This Row],[Ingresos]]*VLOOKUP(RANDBETWEEN(1,10),Tabla5[],2,FALSE)</f>
        <v>16380</v>
      </c>
      <c r="H232" s="15">
        <f ca="1">Tabladatos[[#This Row],[Ingresos]]-Tabladatos[[#This Row],[Costos]]</f>
        <v>10920</v>
      </c>
    </row>
    <row r="233" spans="1:8" ht="22.5" customHeight="1" x14ac:dyDescent="0.25">
      <c r="A233" t="s">
        <v>12</v>
      </c>
      <c r="B233" t="str">
        <f ca="1">VLOOKUP(RANDBETWEEN(1,3),Tabla1[],2,FALSE)</f>
        <v>Central</v>
      </c>
      <c r="C233">
        <v>2020</v>
      </c>
      <c r="D233" t="str">
        <f ca="1">VLOOKUP(RANDBETWEEN(1,4),Tabla2[],2,FALSE)</f>
        <v>4to Trimestre</v>
      </c>
      <c r="E233" t="str">
        <f ca="1">VLOOKUP(RANDBETWEEN(1,8),Tabla3[],2,FALSE)</f>
        <v>SSD</v>
      </c>
      <c r="F233" s="15">
        <f ca="1">VLOOKUP(RANDBETWEEN(1,12),Tabla4[],2,FALSE)</f>
        <v>95945</v>
      </c>
      <c r="G233" s="15">
        <f ca="1">Tabladatos[[#This Row],[Ingresos]]*VLOOKUP(RANDBETWEEN(1,10),Tabla5[],2,FALSE)</f>
        <v>38378</v>
      </c>
      <c r="H233" s="15">
        <f ca="1">Tabladatos[[#This Row],[Ingresos]]-Tabladatos[[#This Row],[Costos]]</f>
        <v>57567</v>
      </c>
    </row>
    <row r="234" spans="1:8" ht="22.5" customHeight="1" x14ac:dyDescent="0.25">
      <c r="A234" t="s">
        <v>12</v>
      </c>
      <c r="B234" t="str">
        <f ca="1">VLOOKUP(RANDBETWEEN(1,3),Tabla1[],2,FALSE)</f>
        <v>Norte</v>
      </c>
      <c r="C234">
        <v>2020</v>
      </c>
      <c r="D234" t="str">
        <f ca="1">VLOOKUP(RANDBETWEEN(1,4),Tabla2[],2,FALSE)</f>
        <v>4to Trimestre</v>
      </c>
      <c r="E234" t="str">
        <f ca="1">VLOOKUP(RANDBETWEEN(1,8),Tabla3[],2,FALSE)</f>
        <v>Computadoras</v>
      </c>
      <c r="F234" s="15">
        <f ca="1">VLOOKUP(RANDBETWEEN(1,12),Tabla4[],2,FALSE)</f>
        <v>120460</v>
      </c>
      <c r="G234" s="15">
        <f ca="1">Tabladatos[[#This Row],[Ingresos]]*VLOOKUP(RANDBETWEEN(1,10),Tabla5[],2,FALSE)</f>
        <v>72276</v>
      </c>
      <c r="H234" s="15">
        <f ca="1">Tabladatos[[#This Row],[Ingresos]]-Tabladatos[[#This Row],[Costos]]</f>
        <v>48184</v>
      </c>
    </row>
    <row r="235" spans="1:8" ht="22.5" customHeight="1" x14ac:dyDescent="0.25">
      <c r="A235" t="s">
        <v>12</v>
      </c>
      <c r="B235" t="str">
        <f ca="1">VLOOKUP(RANDBETWEEN(1,3),Tabla1[],2,FALSE)</f>
        <v>Norte</v>
      </c>
      <c r="C235">
        <v>2020</v>
      </c>
      <c r="D235" t="str">
        <f ca="1">VLOOKUP(RANDBETWEEN(1,4),Tabla2[],2,FALSE)</f>
        <v>2do Trimestre</v>
      </c>
      <c r="E235" t="str">
        <f ca="1">VLOOKUP(RANDBETWEEN(1,8),Tabla3[],2,FALSE)</f>
        <v>Impresoras</v>
      </c>
      <c r="F235" s="15">
        <f ca="1">VLOOKUP(RANDBETWEEN(1,12),Tabla4[],2,FALSE)</f>
        <v>228990</v>
      </c>
      <c r="G235" s="15">
        <f ca="1">Tabladatos[[#This Row],[Ingresos]]*VLOOKUP(RANDBETWEEN(1,10),Tabla5[],2,FALSE)</f>
        <v>137394</v>
      </c>
      <c r="H235" s="15">
        <f ca="1">Tabladatos[[#This Row],[Ingresos]]-Tabladatos[[#This Row],[Costos]]</f>
        <v>91596</v>
      </c>
    </row>
    <row r="236" spans="1:8" ht="22.5" customHeight="1" x14ac:dyDescent="0.25">
      <c r="A236" t="s">
        <v>12</v>
      </c>
      <c r="B236" t="str">
        <f ca="1">VLOOKUP(RANDBETWEEN(1,3),Tabla1[],2,FALSE)</f>
        <v>Norte</v>
      </c>
      <c r="C236">
        <v>2020</v>
      </c>
      <c r="D236" t="str">
        <f ca="1">VLOOKUP(RANDBETWEEN(1,4),Tabla2[],2,FALSE)</f>
        <v>2do Trimestre</v>
      </c>
      <c r="E236" t="str">
        <f ca="1">VLOOKUP(RANDBETWEEN(1,8),Tabla3[],2,FALSE)</f>
        <v>Computadoras</v>
      </c>
      <c r="F236" s="15">
        <f ca="1">VLOOKUP(RANDBETWEEN(1,12),Tabla4[],2,FALSE)</f>
        <v>95945</v>
      </c>
      <c r="G236" s="15">
        <f ca="1">Tabladatos[[#This Row],[Ingresos]]*VLOOKUP(RANDBETWEEN(1,10),Tabla5[],2,FALSE)</f>
        <v>14391.75</v>
      </c>
      <c r="H236" s="15">
        <f ca="1">Tabladatos[[#This Row],[Ingresos]]-Tabladatos[[#This Row],[Costos]]</f>
        <v>81553.25</v>
      </c>
    </row>
    <row r="237" spans="1:8" ht="22.5" customHeight="1" x14ac:dyDescent="0.25">
      <c r="A237" t="s">
        <v>12</v>
      </c>
      <c r="B237" t="str">
        <f ca="1">VLOOKUP(RANDBETWEEN(1,3),Tabla1[],2,FALSE)</f>
        <v xml:space="preserve">Sur </v>
      </c>
      <c r="C237">
        <v>2020</v>
      </c>
      <c r="D237" t="str">
        <f ca="1">VLOOKUP(RANDBETWEEN(1,4),Tabla2[],2,FALSE)</f>
        <v>4to Trimestre</v>
      </c>
      <c r="E237" t="str">
        <f ca="1">VLOOKUP(RANDBETWEEN(1,8),Tabla3[],2,FALSE)</f>
        <v>Tarjetas Wifi</v>
      </c>
      <c r="F237" s="15">
        <f ca="1">VLOOKUP(RANDBETWEEN(1,12),Tabla4[],2,FALSE)</f>
        <v>170000</v>
      </c>
      <c r="G237" s="15">
        <f ca="1">Tabladatos[[#This Row],[Ingresos]]*VLOOKUP(RANDBETWEEN(1,10),Tabla5[],2,FALSE)</f>
        <v>68000</v>
      </c>
      <c r="H237" s="15">
        <f ca="1">Tabladatos[[#This Row],[Ingresos]]-Tabladatos[[#This Row],[Costos]]</f>
        <v>102000</v>
      </c>
    </row>
    <row r="238" spans="1:8" ht="22.5" customHeight="1" x14ac:dyDescent="0.25">
      <c r="A238" t="s">
        <v>12</v>
      </c>
      <c r="B238" t="str">
        <f ca="1">VLOOKUP(RANDBETWEEN(1,3),Tabla1[],2,FALSE)</f>
        <v>Central</v>
      </c>
      <c r="C238">
        <v>2020</v>
      </c>
      <c r="D238" t="str">
        <f ca="1">VLOOKUP(RANDBETWEEN(1,4),Tabla2[],2,FALSE)</f>
        <v>1er Trimestre</v>
      </c>
      <c r="E238" t="str">
        <f ca="1">VLOOKUP(RANDBETWEEN(1,8),Tabla3[],2,FALSE)</f>
        <v>Monitores</v>
      </c>
      <c r="F238" s="15">
        <f ca="1">VLOOKUP(RANDBETWEEN(1,12),Tabla4[],2,FALSE)</f>
        <v>120460</v>
      </c>
      <c r="G238" s="15">
        <f ca="1">Tabladatos[[#This Row],[Ingresos]]*VLOOKUP(RANDBETWEEN(1,10),Tabla5[],2,FALSE)</f>
        <v>48184</v>
      </c>
      <c r="H238" s="15">
        <f ca="1">Tabladatos[[#This Row],[Ingresos]]-Tabladatos[[#This Row],[Costos]]</f>
        <v>72276</v>
      </c>
    </row>
    <row r="239" spans="1:8" ht="22.5" customHeight="1" x14ac:dyDescent="0.25">
      <c r="A239" t="s">
        <v>12</v>
      </c>
      <c r="B239" t="str">
        <f ca="1">VLOOKUP(RANDBETWEEN(1,3),Tabla1[],2,FALSE)</f>
        <v>Norte</v>
      </c>
      <c r="C239">
        <v>2020</v>
      </c>
      <c r="D239" t="str">
        <f ca="1">VLOOKUP(RANDBETWEEN(1,4),Tabla2[],2,FALSE)</f>
        <v>1er Trimestre</v>
      </c>
      <c r="E239" t="str">
        <f ca="1">VLOOKUP(RANDBETWEEN(1,8),Tabla3[],2,FALSE)</f>
        <v>Escáners</v>
      </c>
      <c r="F239" s="15">
        <f ca="1">VLOOKUP(RANDBETWEEN(1,12),Tabla4[],2,FALSE)</f>
        <v>27300</v>
      </c>
      <c r="G239" s="15">
        <f ca="1">Tabladatos[[#This Row],[Ingresos]]*VLOOKUP(RANDBETWEEN(1,10),Tabla5[],2,FALSE)</f>
        <v>21840</v>
      </c>
      <c r="H239" s="15">
        <f ca="1">Tabladatos[[#This Row],[Ingresos]]-Tabladatos[[#This Row],[Costos]]</f>
        <v>5460</v>
      </c>
    </row>
    <row r="240" spans="1:8" ht="22.5" customHeight="1" x14ac:dyDescent="0.25">
      <c r="A240" t="s">
        <v>12</v>
      </c>
      <c r="B240" t="str">
        <f ca="1">VLOOKUP(RANDBETWEEN(1,3),Tabla1[],2,FALSE)</f>
        <v>Central</v>
      </c>
      <c r="C240">
        <v>2020</v>
      </c>
      <c r="D240" t="str">
        <f ca="1">VLOOKUP(RANDBETWEEN(1,4),Tabla2[],2,FALSE)</f>
        <v>1er Trimestre</v>
      </c>
      <c r="E240" t="str">
        <f ca="1">VLOOKUP(RANDBETWEEN(1,8),Tabla3[],2,FALSE)</f>
        <v>Tarjetas Wifi</v>
      </c>
      <c r="F240" s="15">
        <f ca="1">VLOOKUP(RANDBETWEEN(1,12),Tabla4[],2,FALSE)</f>
        <v>535990</v>
      </c>
      <c r="G240" s="15">
        <f ca="1">Tabladatos[[#This Row],[Ingresos]]*VLOOKUP(RANDBETWEEN(1,10),Tabla5[],2,FALSE)</f>
        <v>53599</v>
      </c>
      <c r="H240" s="15">
        <f ca="1">Tabladatos[[#This Row],[Ingresos]]-Tabladatos[[#This Row],[Costos]]</f>
        <v>482391</v>
      </c>
    </row>
    <row r="241" spans="1:8" ht="22.5" customHeight="1" x14ac:dyDescent="0.25">
      <c r="A241" t="s">
        <v>12</v>
      </c>
      <c r="B241" t="str">
        <f ca="1">VLOOKUP(RANDBETWEEN(1,3),Tabla1[],2,FALSE)</f>
        <v>Norte</v>
      </c>
      <c r="C241">
        <v>2020</v>
      </c>
      <c r="D241" t="str">
        <f ca="1">VLOOKUP(RANDBETWEEN(1,4),Tabla2[],2,FALSE)</f>
        <v>2do Trimestre</v>
      </c>
      <c r="E241" t="str">
        <f ca="1">VLOOKUP(RANDBETWEEN(1,8),Tabla3[],2,FALSE)</f>
        <v>Escáners</v>
      </c>
      <c r="F241" s="15">
        <f ca="1">VLOOKUP(RANDBETWEEN(1,12),Tabla4[],2,FALSE)</f>
        <v>599800</v>
      </c>
      <c r="G241" s="15">
        <f ca="1">Tabladatos[[#This Row],[Ingresos]]*VLOOKUP(RANDBETWEEN(1,10),Tabla5[],2,FALSE)</f>
        <v>419860</v>
      </c>
      <c r="H241" s="15">
        <f ca="1">Tabladatos[[#This Row],[Ingresos]]-Tabladatos[[#This Row],[Costos]]</f>
        <v>179940</v>
      </c>
    </row>
    <row r="242" spans="1:8" ht="22.5" customHeight="1" x14ac:dyDescent="0.25">
      <c r="A242" t="s">
        <v>12</v>
      </c>
      <c r="B242" t="str">
        <f ca="1">VLOOKUP(RANDBETWEEN(1,3),Tabla1[],2,FALSE)</f>
        <v>Norte</v>
      </c>
      <c r="C242">
        <v>2020</v>
      </c>
      <c r="D242" t="str">
        <f ca="1">VLOOKUP(RANDBETWEEN(1,4),Tabla2[],2,FALSE)</f>
        <v>2do Trimestre</v>
      </c>
      <c r="E242" t="str">
        <f ca="1">VLOOKUP(RANDBETWEEN(1,8),Tabla3[],2,FALSE)</f>
        <v>Impresoras</v>
      </c>
      <c r="F242" s="15">
        <f ca="1">VLOOKUP(RANDBETWEEN(1,12),Tabla4[],2,FALSE)</f>
        <v>170000</v>
      </c>
      <c r="G242" s="15">
        <f ca="1">Tabladatos[[#This Row],[Ingresos]]*VLOOKUP(RANDBETWEEN(1,10),Tabla5[],2,FALSE)</f>
        <v>51000</v>
      </c>
      <c r="H242" s="15">
        <f ca="1">Tabladatos[[#This Row],[Ingresos]]-Tabladatos[[#This Row],[Costos]]</f>
        <v>119000</v>
      </c>
    </row>
    <row r="243" spans="1:8" ht="22.5" customHeight="1" x14ac:dyDescent="0.25">
      <c r="A243" t="s">
        <v>12</v>
      </c>
      <c r="B243" t="str">
        <f ca="1">VLOOKUP(RANDBETWEEN(1,3),Tabla1[],2,FALSE)</f>
        <v>Norte</v>
      </c>
      <c r="C243">
        <v>2020</v>
      </c>
      <c r="D243" t="str">
        <f ca="1">VLOOKUP(RANDBETWEEN(1,4),Tabla2[],2,FALSE)</f>
        <v>2do Trimestre</v>
      </c>
      <c r="E243" t="str">
        <f ca="1">VLOOKUP(RANDBETWEEN(1,8),Tabla3[],2,FALSE)</f>
        <v>Computadoras</v>
      </c>
      <c r="F243" s="15">
        <f ca="1">VLOOKUP(RANDBETWEEN(1,12),Tabla4[],2,FALSE)</f>
        <v>120460</v>
      </c>
      <c r="G243" s="15">
        <f ca="1">Tabladatos[[#This Row],[Ingresos]]*VLOOKUP(RANDBETWEEN(1,10),Tabla5[],2,FALSE)</f>
        <v>60230</v>
      </c>
      <c r="H243" s="15">
        <f ca="1">Tabladatos[[#This Row],[Ingresos]]-Tabladatos[[#This Row],[Costos]]</f>
        <v>60230</v>
      </c>
    </row>
    <row r="244" spans="1:8" ht="22.5" customHeight="1" x14ac:dyDescent="0.25">
      <c r="A244" t="s">
        <v>12</v>
      </c>
      <c r="B244" t="str">
        <f ca="1">VLOOKUP(RANDBETWEEN(1,3),Tabla1[],2,FALSE)</f>
        <v>Norte</v>
      </c>
      <c r="C244">
        <v>2020</v>
      </c>
      <c r="D244" t="str">
        <f ca="1">VLOOKUP(RANDBETWEEN(1,4),Tabla2[],2,FALSE)</f>
        <v>1er Trimestre</v>
      </c>
      <c r="E244" t="str">
        <f ca="1">VLOOKUP(RANDBETWEEN(1,8),Tabla3[],2,FALSE)</f>
        <v>Tarjetas Wifi</v>
      </c>
      <c r="F244" s="15">
        <f ca="1">VLOOKUP(RANDBETWEEN(1,12),Tabla4[],2,FALSE)</f>
        <v>599800</v>
      </c>
      <c r="G244" s="15">
        <f ca="1">Tabladatos[[#This Row],[Ingresos]]*VLOOKUP(RANDBETWEEN(1,10),Tabla5[],2,FALSE)</f>
        <v>359880</v>
      </c>
      <c r="H244" s="15">
        <f ca="1">Tabladatos[[#This Row],[Ingresos]]-Tabladatos[[#This Row],[Costos]]</f>
        <v>239920</v>
      </c>
    </row>
    <row r="245" spans="1:8" ht="22.5" customHeight="1" x14ac:dyDescent="0.25">
      <c r="A245" t="s">
        <v>12</v>
      </c>
      <c r="B245" t="str">
        <f ca="1">VLOOKUP(RANDBETWEEN(1,3),Tabla1[],2,FALSE)</f>
        <v>Central</v>
      </c>
      <c r="C245">
        <v>2020</v>
      </c>
      <c r="D245" t="str">
        <f ca="1">VLOOKUP(RANDBETWEEN(1,4),Tabla2[],2,FALSE)</f>
        <v>2do Trimestre</v>
      </c>
      <c r="E245" t="str">
        <f ca="1">VLOOKUP(RANDBETWEEN(1,8),Tabla3[],2,FALSE)</f>
        <v>SSD</v>
      </c>
      <c r="F245" s="15">
        <f ca="1">VLOOKUP(RANDBETWEEN(1,12),Tabla4[],2,FALSE)</f>
        <v>535990</v>
      </c>
      <c r="G245" s="15">
        <f ca="1">Tabladatos[[#This Row],[Ingresos]]*VLOOKUP(RANDBETWEEN(1,10),Tabla5[],2,FALSE)</f>
        <v>428792</v>
      </c>
      <c r="H245" s="15">
        <f ca="1">Tabladatos[[#This Row],[Ingresos]]-Tabladatos[[#This Row],[Costos]]</f>
        <v>107198</v>
      </c>
    </row>
    <row r="246" spans="1:8" ht="22.5" customHeight="1" x14ac:dyDescent="0.25">
      <c r="A246" t="s">
        <v>12</v>
      </c>
      <c r="B246" t="str">
        <f ca="1">VLOOKUP(RANDBETWEEN(1,3),Tabla1[],2,FALSE)</f>
        <v>Norte</v>
      </c>
      <c r="C246">
        <v>2020</v>
      </c>
      <c r="D246" t="str">
        <f ca="1">VLOOKUP(RANDBETWEEN(1,4),Tabla2[],2,FALSE)</f>
        <v>1er Trimestre</v>
      </c>
      <c r="E246" t="str">
        <f ca="1">VLOOKUP(RANDBETWEEN(1,8),Tabla3[],2,FALSE)</f>
        <v>Computadoras</v>
      </c>
      <c r="F246" s="15">
        <f ca="1">VLOOKUP(RANDBETWEEN(1,12),Tabla4[],2,FALSE)</f>
        <v>170000</v>
      </c>
      <c r="G246" s="15">
        <f ca="1">Tabladatos[[#This Row],[Ingresos]]*VLOOKUP(RANDBETWEEN(1,10),Tabla5[],2,FALSE)</f>
        <v>42500</v>
      </c>
      <c r="H246" s="15">
        <f ca="1">Tabladatos[[#This Row],[Ingresos]]-Tabladatos[[#This Row],[Costos]]</f>
        <v>127500</v>
      </c>
    </row>
    <row r="247" spans="1:8" ht="22.5" customHeight="1" x14ac:dyDescent="0.25">
      <c r="A247" t="s">
        <v>12</v>
      </c>
      <c r="B247" t="str">
        <f ca="1">VLOOKUP(RANDBETWEEN(1,3),Tabla1[],2,FALSE)</f>
        <v>Norte</v>
      </c>
      <c r="C247">
        <v>2020</v>
      </c>
      <c r="D247" t="str">
        <f ca="1">VLOOKUP(RANDBETWEEN(1,4),Tabla2[],2,FALSE)</f>
        <v>4to Trimestre</v>
      </c>
      <c r="E247" t="str">
        <f ca="1">VLOOKUP(RANDBETWEEN(1,8),Tabla3[],2,FALSE)</f>
        <v>SSD</v>
      </c>
      <c r="F247" s="15">
        <f ca="1">VLOOKUP(RANDBETWEEN(1,12),Tabla4[],2,FALSE)</f>
        <v>599800</v>
      </c>
      <c r="G247" s="15">
        <f ca="1">Tabladatos[[#This Row],[Ingresos]]*VLOOKUP(RANDBETWEEN(1,10),Tabla5[],2,FALSE)</f>
        <v>359880</v>
      </c>
      <c r="H247" s="15">
        <f ca="1">Tabladatos[[#This Row],[Ingresos]]-Tabladatos[[#This Row],[Costos]]</f>
        <v>239920</v>
      </c>
    </row>
    <row r="248" spans="1:8" ht="22.5" customHeight="1" x14ac:dyDescent="0.25">
      <c r="A248" t="s">
        <v>12</v>
      </c>
      <c r="B248" t="str">
        <f ca="1">VLOOKUP(RANDBETWEEN(1,3),Tabla1[],2,FALSE)</f>
        <v>Norte</v>
      </c>
      <c r="C248">
        <v>2020</v>
      </c>
      <c r="D248" t="str">
        <f ca="1">VLOOKUP(RANDBETWEEN(1,4),Tabla2[],2,FALSE)</f>
        <v>1er Trimestre</v>
      </c>
      <c r="E248" t="str">
        <f ca="1">VLOOKUP(RANDBETWEEN(1,8),Tabla3[],2,FALSE)</f>
        <v>Memorias USB</v>
      </c>
      <c r="F248" s="15">
        <f ca="1">VLOOKUP(RANDBETWEEN(1,12),Tabla4[],2,FALSE)</f>
        <v>120460</v>
      </c>
      <c r="G248" s="15">
        <f ca="1">Tabladatos[[#This Row],[Ingresos]]*VLOOKUP(RANDBETWEEN(1,10),Tabla5[],2,FALSE)</f>
        <v>30115</v>
      </c>
      <c r="H248" s="15">
        <f ca="1">Tabladatos[[#This Row],[Ingresos]]-Tabladatos[[#This Row],[Costos]]</f>
        <v>90345</v>
      </c>
    </row>
    <row r="249" spans="1:8" ht="22.5" customHeight="1" x14ac:dyDescent="0.25">
      <c r="A249" t="s">
        <v>12</v>
      </c>
      <c r="B249" t="str">
        <f ca="1">VLOOKUP(RANDBETWEEN(1,3),Tabla1[],2,FALSE)</f>
        <v>Norte</v>
      </c>
      <c r="C249">
        <v>2020</v>
      </c>
      <c r="D249" t="str">
        <f ca="1">VLOOKUP(RANDBETWEEN(1,4),Tabla2[],2,FALSE)</f>
        <v>2do Trimestre</v>
      </c>
      <c r="E249" t="str">
        <f ca="1">VLOOKUP(RANDBETWEEN(1,8),Tabla3[],2,FALSE)</f>
        <v>Impresoras</v>
      </c>
      <c r="F249" s="15">
        <f ca="1">VLOOKUP(RANDBETWEEN(1,12),Tabla4[],2,FALSE)</f>
        <v>365285</v>
      </c>
      <c r="G249" s="15">
        <f ca="1">Tabladatos[[#This Row],[Ingresos]]*VLOOKUP(RANDBETWEEN(1,10),Tabla5[],2,FALSE)</f>
        <v>255699.49999999997</v>
      </c>
      <c r="H249" s="15">
        <f ca="1">Tabladatos[[#This Row],[Ingresos]]-Tabladatos[[#This Row],[Costos]]</f>
        <v>109585.50000000003</v>
      </c>
    </row>
    <row r="250" spans="1:8" ht="22.5" customHeight="1" x14ac:dyDescent="0.25">
      <c r="A250" t="s">
        <v>12</v>
      </c>
      <c r="B250" t="str">
        <f ca="1">VLOOKUP(RANDBETWEEN(1,3),Tabla1[],2,FALSE)</f>
        <v>Central</v>
      </c>
      <c r="C250">
        <v>2020</v>
      </c>
      <c r="D250" t="str">
        <f ca="1">VLOOKUP(RANDBETWEEN(1,4),Tabla2[],2,FALSE)</f>
        <v>4to Trimestre</v>
      </c>
      <c r="E250" t="str">
        <f ca="1">VLOOKUP(RANDBETWEEN(1,8),Tabla3[],2,FALSE)</f>
        <v>Impresoras</v>
      </c>
      <c r="F250" s="15">
        <f ca="1">VLOOKUP(RANDBETWEEN(1,12),Tabla4[],2,FALSE)</f>
        <v>490000</v>
      </c>
      <c r="G250" s="15">
        <f ca="1">Tabladatos[[#This Row],[Ingresos]]*VLOOKUP(RANDBETWEEN(1,10),Tabla5[],2,FALSE)</f>
        <v>392000</v>
      </c>
      <c r="H250" s="15">
        <f ca="1">Tabladatos[[#This Row],[Ingresos]]-Tabladatos[[#This Row],[Costos]]</f>
        <v>98000</v>
      </c>
    </row>
    <row r="251" spans="1:8" ht="22.5" customHeight="1" x14ac:dyDescent="0.25">
      <c r="A251" t="s">
        <v>12</v>
      </c>
      <c r="B251" t="str">
        <f ca="1">VLOOKUP(RANDBETWEEN(1,3),Tabla1[],2,FALSE)</f>
        <v>Central</v>
      </c>
      <c r="C251">
        <v>2020</v>
      </c>
      <c r="D251" t="str">
        <f ca="1">VLOOKUP(RANDBETWEEN(1,4),Tabla2[],2,FALSE)</f>
        <v>2do Trimestre</v>
      </c>
      <c r="E251" t="str">
        <f ca="1">VLOOKUP(RANDBETWEEN(1,8),Tabla3[],2,FALSE)</f>
        <v>Computadoras</v>
      </c>
      <c r="F251" s="15">
        <f ca="1">VLOOKUP(RANDBETWEEN(1,12),Tabla4[],2,FALSE)</f>
        <v>27300</v>
      </c>
      <c r="G251" s="15">
        <f ca="1">Tabladatos[[#This Row],[Ingresos]]*VLOOKUP(RANDBETWEEN(1,10),Tabla5[],2,FALSE)</f>
        <v>5460</v>
      </c>
      <c r="H251" s="15">
        <f ca="1">Tabladatos[[#This Row],[Ingresos]]-Tabladatos[[#This Row],[Costos]]</f>
        <v>21840</v>
      </c>
    </row>
    <row r="252" spans="1:8" ht="22.5" customHeight="1" x14ac:dyDescent="0.25">
      <c r="A252" t="s">
        <v>12</v>
      </c>
      <c r="B252" t="str">
        <f ca="1">VLOOKUP(RANDBETWEEN(1,3),Tabla1[],2,FALSE)</f>
        <v>Norte</v>
      </c>
      <c r="C252">
        <v>2020</v>
      </c>
      <c r="D252" t="str">
        <f ca="1">VLOOKUP(RANDBETWEEN(1,4),Tabla2[],2,FALSE)</f>
        <v>1er Trimestre</v>
      </c>
      <c r="E252" t="str">
        <f ca="1">VLOOKUP(RANDBETWEEN(1,8),Tabla3[],2,FALSE)</f>
        <v>Computadoras</v>
      </c>
      <c r="F252" s="15">
        <f ca="1">VLOOKUP(RANDBETWEEN(1,12),Tabla4[],2,FALSE)</f>
        <v>27300</v>
      </c>
      <c r="G252" s="15">
        <f ca="1">Tabladatos[[#This Row],[Ingresos]]*VLOOKUP(RANDBETWEEN(1,10),Tabla5[],2,FALSE)</f>
        <v>19110</v>
      </c>
      <c r="H252" s="15">
        <f ca="1">Tabladatos[[#This Row],[Ingresos]]-Tabladatos[[#This Row],[Costos]]</f>
        <v>8190</v>
      </c>
    </row>
    <row r="253" spans="1:8" ht="22.5" customHeight="1" x14ac:dyDescent="0.25">
      <c r="A253" t="s">
        <v>12</v>
      </c>
      <c r="B253" t="str">
        <f ca="1">VLOOKUP(RANDBETWEEN(1,3),Tabla1[],2,FALSE)</f>
        <v xml:space="preserve">Sur </v>
      </c>
      <c r="C253">
        <v>2020</v>
      </c>
      <c r="D253" t="str">
        <f ca="1">VLOOKUP(RANDBETWEEN(1,4),Tabla2[],2,FALSE)</f>
        <v>2do Trimestre</v>
      </c>
      <c r="E253" t="str">
        <f ca="1">VLOOKUP(RANDBETWEEN(1,8),Tabla3[],2,FALSE)</f>
        <v>Escáners</v>
      </c>
      <c r="F253" s="15">
        <f ca="1">VLOOKUP(RANDBETWEEN(1,12),Tabla4[],2,FALSE)</f>
        <v>535990</v>
      </c>
      <c r="G253" s="15">
        <f ca="1">Tabladatos[[#This Row],[Ingresos]]*VLOOKUP(RANDBETWEEN(1,10),Tabla5[],2,FALSE)</f>
        <v>321594</v>
      </c>
      <c r="H253" s="15">
        <f ca="1">Tabladatos[[#This Row],[Ingresos]]-Tabladatos[[#This Row],[Costos]]</f>
        <v>214396</v>
      </c>
    </row>
    <row r="254" spans="1:8" ht="22.5" customHeight="1" x14ac:dyDescent="0.25">
      <c r="A254" t="s">
        <v>12</v>
      </c>
      <c r="B254" t="str">
        <f ca="1">VLOOKUP(RANDBETWEEN(1,3),Tabla1[],2,FALSE)</f>
        <v xml:space="preserve">Sur </v>
      </c>
      <c r="C254">
        <v>2020</v>
      </c>
      <c r="D254" t="str">
        <f ca="1">VLOOKUP(RANDBETWEEN(1,4),Tabla2[],2,FALSE)</f>
        <v>4to Trimestre</v>
      </c>
      <c r="E254" t="str">
        <f ca="1">VLOOKUP(RANDBETWEEN(1,8),Tabla3[],2,FALSE)</f>
        <v>Monitores</v>
      </c>
      <c r="F254" s="15">
        <f ca="1">VLOOKUP(RANDBETWEEN(1,12),Tabla4[],2,FALSE)</f>
        <v>490000</v>
      </c>
      <c r="G254" s="15">
        <f ca="1">Tabladatos[[#This Row],[Ingresos]]*VLOOKUP(RANDBETWEEN(1,10),Tabla5[],2,FALSE)</f>
        <v>343000</v>
      </c>
      <c r="H254" s="15">
        <f ca="1">Tabladatos[[#This Row],[Ingresos]]-Tabladatos[[#This Row],[Costos]]</f>
        <v>147000</v>
      </c>
    </row>
    <row r="255" spans="1:8" ht="22.5" customHeight="1" x14ac:dyDescent="0.25">
      <c r="A255" t="s">
        <v>12</v>
      </c>
      <c r="B255" t="str">
        <f ca="1">VLOOKUP(RANDBETWEEN(1,3),Tabla1[],2,FALSE)</f>
        <v>Norte</v>
      </c>
      <c r="C255">
        <v>2020</v>
      </c>
      <c r="D255" t="str">
        <f ca="1">VLOOKUP(RANDBETWEEN(1,4),Tabla2[],2,FALSE)</f>
        <v>3er Trimestre</v>
      </c>
      <c r="E255" t="str">
        <f ca="1">VLOOKUP(RANDBETWEEN(1,8),Tabla3[],2,FALSE)</f>
        <v>Laptops</v>
      </c>
      <c r="F255" s="15">
        <f ca="1">VLOOKUP(RANDBETWEEN(1,12),Tabla4[],2,FALSE)</f>
        <v>365285</v>
      </c>
      <c r="G255" s="15">
        <f ca="1">Tabladatos[[#This Row],[Ingresos]]*VLOOKUP(RANDBETWEEN(1,10),Tabla5[],2,FALSE)</f>
        <v>73057</v>
      </c>
      <c r="H255" s="15">
        <f ca="1">Tabladatos[[#This Row],[Ingresos]]-Tabladatos[[#This Row],[Costos]]</f>
        <v>292228</v>
      </c>
    </row>
    <row r="256" spans="1:8" ht="22.5" customHeight="1" x14ac:dyDescent="0.25">
      <c r="A256" t="s">
        <v>12</v>
      </c>
      <c r="B256" t="str">
        <f ca="1">VLOOKUP(RANDBETWEEN(1,3),Tabla1[],2,FALSE)</f>
        <v>Norte</v>
      </c>
      <c r="C256">
        <v>2020</v>
      </c>
      <c r="D256" t="str">
        <f ca="1">VLOOKUP(RANDBETWEEN(1,4),Tabla2[],2,FALSE)</f>
        <v>1er Trimestre</v>
      </c>
      <c r="E256" t="str">
        <f ca="1">VLOOKUP(RANDBETWEEN(1,8),Tabla3[],2,FALSE)</f>
        <v>Laptops</v>
      </c>
      <c r="F256" s="15">
        <f ca="1">VLOOKUP(RANDBETWEEN(1,12),Tabla4[],2,FALSE)</f>
        <v>120460</v>
      </c>
      <c r="G256" s="15">
        <f ca="1">Tabladatos[[#This Row],[Ingresos]]*VLOOKUP(RANDBETWEEN(1,10),Tabla5[],2,FALSE)</f>
        <v>12046</v>
      </c>
      <c r="H256" s="15">
        <f ca="1">Tabladatos[[#This Row],[Ingresos]]-Tabladatos[[#This Row],[Costos]]</f>
        <v>108414</v>
      </c>
    </row>
    <row r="257" spans="1:8" ht="22.5" customHeight="1" x14ac:dyDescent="0.25">
      <c r="A257" t="s">
        <v>12</v>
      </c>
      <c r="B257" t="str">
        <f ca="1">VLOOKUP(RANDBETWEEN(1,3),Tabla1[],2,FALSE)</f>
        <v>Central</v>
      </c>
      <c r="C257">
        <v>2020</v>
      </c>
      <c r="D257" t="str">
        <f ca="1">VLOOKUP(RANDBETWEEN(1,4),Tabla2[],2,FALSE)</f>
        <v>2do Trimestre</v>
      </c>
      <c r="E257" t="str">
        <f ca="1">VLOOKUP(RANDBETWEEN(1,8),Tabla3[],2,FALSE)</f>
        <v>Memorias USB</v>
      </c>
      <c r="F257" s="15">
        <f ca="1">VLOOKUP(RANDBETWEEN(1,12),Tabla4[],2,FALSE)</f>
        <v>170000</v>
      </c>
      <c r="G257" s="15">
        <f ca="1">Tabladatos[[#This Row],[Ingresos]]*VLOOKUP(RANDBETWEEN(1,10),Tabla5[],2,FALSE)</f>
        <v>51000</v>
      </c>
      <c r="H257" s="15">
        <f ca="1">Tabladatos[[#This Row],[Ingresos]]-Tabladatos[[#This Row],[Costos]]</f>
        <v>119000</v>
      </c>
    </row>
    <row r="258" spans="1:8" ht="22.5" customHeight="1" x14ac:dyDescent="0.25">
      <c r="A258" t="s">
        <v>12</v>
      </c>
      <c r="B258" t="str">
        <f ca="1">VLOOKUP(RANDBETWEEN(1,3),Tabla1[],2,FALSE)</f>
        <v xml:space="preserve">Sur </v>
      </c>
      <c r="C258">
        <v>2020</v>
      </c>
      <c r="D258" t="str">
        <f ca="1">VLOOKUP(RANDBETWEEN(1,4),Tabla2[],2,FALSE)</f>
        <v>4to Trimestre</v>
      </c>
      <c r="E258" t="str">
        <f ca="1">VLOOKUP(RANDBETWEEN(1,8),Tabla3[],2,FALSE)</f>
        <v>Computadoras</v>
      </c>
      <c r="F258" s="15">
        <f ca="1">VLOOKUP(RANDBETWEEN(1,12),Tabla4[],2,FALSE)</f>
        <v>170000</v>
      </c>
      <c r="G258" s="15">
        <f ca="1">Tabladatos[[#This Row],[Ingresos]]*VLOOKUP(RANDBETWEEN(1,10),Tabla5[],2,FALSE)</f>
        <v>51000</v>
      </c>
      <c r="H258" s="15">
        <f ca="1">Tabladatos[[#This Row],[Ingresos]]-Tabladatos[[#This Row],[Costos]]</f>
        <v>119000</v>
      </c>
    </row>
    <row r="259" spans="1:8" ht="22.5" customHeight="1" x14ac:dyDescent="0.25">
      <c r="A259" t="s">
        <v>12</v>
      </c>
      <c r="B259" t="str">
        <f ca="1">VLOOKUP(RANDBETWEEN(1,3),Tabla1[],2,FALSE)</f>
        <v xml:space="preserve">Sur </v>
      </c>
      <c r="C259">
        <v>2020</v>
      </c>
      <c r="D259" t="str">
        <f ca="1">VLOOKUP(RANDBETWEEN(1,4),Tabla2[],2,FALSE)</f>
        <v>4to Trimestre</v>
      </c>
      <c r="E259" t="str">
        <f ca="1">VLOOKUP(RANDBETWEEN(1,8),Tabla3[],2,FALSE)</f>
        <v>Tarjetas Wifi</v>
      </c>
      <c r="F259" s="15">
        <f ca="1">VLOOKUP(RANDBETWEEN(1,12),Tabla4[],2,FALSE)</f>
        <v>228990</v>
      </c>
      <c r="G259" s="15">
        <f ca="1">Tabladatos[[#This Row],[Ingresos]]*VLOOKUP(RANDBETWEEN(1,10),Tabla5[],2,FALSE)</f>
        <v>45798</v>
      </c>
      <c r="H259" s="15">
        <f ca="1">Tabladatos[[#This Row],[Ingresos]]-Tabladatos[[#This Row],[Costos]]</f>
        <v>183192</v>
      </c>
    </row>
    <row r="260" spans="1:8" ht="22.5" customHeight="1" x14ac:dyDescent="0.25">
      <c r="A260" t="s">
        <v>12</v>
      </c>
      <c r="B260" t="str">
        <f ca="1">VLOOKUP(RANDBETWEEN(1,3),Tabla1[],2,FALSE)</f>
        <v>Norte</v>
      </c>
      <c r="C260">
        <v>2020</v>
      </c>
      <c r="D260" t="str">
        <f ca="1">VLOOKUP(RANDBETWEEN(1,4),Tabla2[],2,FALSE)</f>
        <v>1er Trimestre</v>
      </c>
      <c r="E260" t="str">
        <f ca="1">VLOOKUP(RANDBETWEEN(1,8),Tabla3[],2,FALSE)</f>
        <v>SSD</v>
      </c>
      <c r="F260" s="15">
        <f ca="1">VLOOKUP(RANDBETWEEN(1,12),Tabla4[],2,FALSE)</f>
        <v>365285</v>
      </c>
      <c r="G260" s="15">
        <f ca="1">Tabladatos[[#This Row],[Ingresos]]*VLOOKUP(RANDBETWEEN(1,10),Tabla5[],2,FALSE)</f>
        <v>54792.75</v>
      </c>
      <c r="H260" s="15">
        <f ca="1">Tabladatos[[#This Row],[Ingresos]]-Tabladatos[[#This Row],[Costos]]</f>
        <v>310492.25</v>
      </c>
    </row>
    <row r="261" spans="1:8" ht="22.5" customHeight="1" x14ac:dyDescent="0.25">
      <c r="A261" t="s">
        <v>12</v>
      </c>
      <c r="B261" t="str">
        <f ca="1">VLOOKUP(RANDBETWEEN(1,3),Tabla1[],2,FALSE)</f>
        <v>Central</v>
      </c>
      <c r="C261">
        <v>2020</v>
      </c>
      <c r="D261" t="str">
        <f ca="1">VLOOKUP(RANDBETWEEN(1,4),Tabla2[],2,FALSE)</f>
        <v>4to Trimestre</v>
      </c>
      <c r="E261" t="str">
        <f ca="1">VLOOKUP(RANDBETWEEN(1,8),Tabla3[],2,FALSE)</f>
        <v>Computadoras</v>
      </c>
      <c r="F261" s="15">
        <f ca="1">VLOOKUP(RANDBETWEEN(1,12),Tabla4[],2,FALSE)</f>
        <v>120460</v>
      </c>
      <c r="G261" s="15">
        <f ca="1">Tabladatos[[#This Row],[Ingresos]]*VLOOKUP(RANDBETWEEN(1,10),Tabla5[],2,FALSE)</f>
        <v>30115</v>
      </c>
      <c r="H261" s="15">
        <f ca="1">Tabladatos[[#This Row],[Ingresos]]-Tabladatos[[#This Row],[Costos]]</f>
        <v>90345</v>
      </c>
    </row>
    <row r="262" spans="1:8" ht="22.5" customHeight="1" x14ac:dyDescent="0.25">
      <c r="A262" t="s">
        <v>12</v>
      </c>
      <c r="B262" t="str">
        <f ca="1">VLOOKUP(RANDBETWEEN(1,3),Tabla1[],2,FALSE)</f>
        <v>Central</v>
      </c>
      <c r="C262">
        <v>2020</v>
      </c>
      <c r="D262" t="str">
        <f ca="1">VLOOKUP(RANDBETWEEN(1,4),Tabla2[],2,FALSE)</f>
        <v>3er Trimestre</v>
      </c>
      <c r="E262" t="str">
        <f ca="1">VLOOKUP(RANDBETWEEN(1,8),Tabla3[],2,FALSE)</f>
        <v>Computadoras</v>
      </c>
      <c r="F262" s="15">
        <f ca="1">VLOOKUP(RANDBETWEEN(1,12),Tabla4[],2,FALSE)</f>
        <v>228990</v>
      </c>
      <c r="G262" s="15">
        <f ca="1">Tabladatos[[#This Row],[Ingresos]]*VLOOKUP(RANDBETWEEN(1,10),Tabla5[],2,FALSE)</f>
        <v>22899</v>
      </c>
      <c r="H262" s="15">
        <f ca="1">Tabladatos[[#This Row],[Ingresos]]-Tabladatos[[#This Row],[Costos]]</f>
        <v>206091</v>
      </c>
    </row>
    <row r="263" spans="1:8" ht="22.5" customHeight="1" x14ac:dyDescent="0.25">
      <c r="A263" t="s">
        <v>12</v>
      </c>
      <c r="B263" t="str">
        <f ca="1">VLOOKUP(RANDBETWEEN(1,3),Tabla1[],2,FALSE)</f>
        <v>Central</v>
      </c>
      <c r="C263">
        <v>2020</v>
      </c>
      <c r="D263" t="str">
        <f ca="1">VLOOKUP(RANDBETWEEN(1,4),Tabla2[],2,FALSE)</f>
        <v>3er Trimestre</v>
      </c>
      <c r="E263" t="str">
        <f ca="1">VLOOKUP(RANDBETWEEN(1,8),Tabla3[],2,FALSE)</f>
        <v>Tarjetas Wifi</v>
      </c>
      <c r="F263" s="15">
        <f ca="1">VLOOKUP(RANDBETWEEN(1,12),Tabla4[],2,FALSE)</f>
        <v>300000</v>
      </c>
      <c r="G263" s="15">
        <f ca="1">Tabladatos[[#This Row],[Ingresos]]*VLOOKUP(RANDBETWEEN(1,10),Tabla5[],2,FALSE)</f>
        <v>180000</v>
      </c>
      <c r="H263" s="15">
        <f ca="1">Tabladatos[[#This Row],[Ingresos]]-Tabladatos[[#This Row],[Costos]]</f>
        <v>120000</v>
      </c>
    </row>
    <row r="264" spans="1:8" ht="22.5" customHeight="1" x14ac:dyDescent="0.25">
      <c r="A264" t="s">
        <v>12</v>
      </c>
      <c r="B264" t="str">
        <f ca="1">VLOOKUP(RANDBETWEEN(1,3),Tabla1[],2,FALSE)</f>
        <v>Central</v>
      </c>
      <c r="C264">
        <v>2020</v>
      </c>
      <c r="D264" t="str">
        <f ca="1">VLOOKUP(RANDBETWEEN(1,4),Tabla2[],2,FALSE)</f>
        <v>4to Trimestre</v>
      </c>
      <c r="E264" t="str">
        <f ca="1">VLOOKUP(RANDBETWEEN(1,8),Tabla3[],2,FALSE)</f>
        <v>Computadoras</v>
      </c>
      <c r="F264" s="15">
        <f ca="1">VLOOKUP(RANDBETWEEN(1,12),Tabla4[],2,FALSE)</f>
        <v>95945</v>
      </c>
      <c r="G264" s="15">
        <f ca="1">Tabladatos[[#This Row],[Ingresos]]*VLOOKUP(RANDBETWEEN(1,10),Tabla5[],2,FALSE)</f>
        <v>14391.75</v>
      </c>
      <c r="H264" s="15">
        <f ca="1">Tabladatos[[#This Row],[Ingresos]]-Tabladatos[[#This Row],[Costos]]</f>
        <v>81553.25</v>
      </c>
    </row>
    <row r="265" spans="1:8" ht="22.5" customHeight="1" x14ac:dyDescent="0.25">
      <c r="A265" t="s">
        <v>12</v>
      </c>
      <c r="B265" t="str">
        <f ca="1">VLOOKUP(RANDBETWEEN(1,3),Tabla1[],2,FALSE)</f>
        <v>Norte</v>
      </c>
      <c r="C265">
        <v>2020</v>
      </c>
      <c r="D265" t="str">
        <f ca="1">VLOOKUP(RANDBETWEEN(1,4),Tabla2[],2,FALSE)</f>
        <v>3er Trimestre</v>
      </c>
      <c r="E265" t="str">
        <f ca="1">VLOOKUP(RANDBETWEEN(1,8),Tabla3[],2,FALSE)</f>
        <v>Computadoras</v>
      </c>
      <c r="F265" s="15">
        <f ca="1">VLOOKUP(RANDBETWEEN(1,12),Tabla4[],2,FALSE)</f>
        <v>300000</v>
      </c>
      <c r="G265" s="15">
        <f ca="1">Tabladatos[[#This Row],[Ingresos]]*VLOOKUP(RANDBETWEEN(1,10),Tabla5[],2,FALSE)</f>
        <v>240000</v>
      </c>
      <c r="H265" s="15">
        <f ca="1">Tabladatos[[#This Row],[Ingresos]]-Tabladatos[[#This Row],[Costos]]</f>
        <v>60000</v>
      </c>
    </row>
    <row r="266" spans="1:8" ht="22.5" customHeight="1" x14ac:dyDescent="0.25">
      <c r="A266" t="s">
        <v>13</v>
      </c>
      <c r="B266" t="str">
        <f ca="1">VLOOKUP(RANDBETWEEN(1,3),Tabla1[],2,FALSE)</f>
        <v>Central</v>
      </c>
      <c r="C266">
        <v>2020</v>
      </c>
      <c r="D266" t="str">
        <f ca="1">VLOOKUP(RANDBETWEEN(1,4),Tabla2[],2,FALSE)</f>
        <v>2do Trimestre</v>
      </c>
      <c r="E266" t="str">
        <f ca="1">VLOOKUP(RANDBETWEEN(1,8),Tabla3[],2,FALSE)</f>
        <v>Computadoras</v>
      </c>
      <c r="F266" s="15">
        <f ca="1">VLOOKUP(RANDBETWEEN(1,12),Tabla4[],2,FALSE)</f>
        <v>228990</v>
      </c>
      <c r="G266" s="15">
        <f ca="1">Tabladatos[[#This Row],[Ingresos]]*VLOOKUP(RANDBETWEEN(1,10),Tabla5[],2,FALSE)</f>
        <v>45798</v>
      </c>
      <c r="H266" s="15">
        <f ca="1">Tabladatos[[#This Row],[Ingresos]]-Tabladatos[[#This Row],[Costos]]</f>
        <v>183192</v>
      </c>
    </row>
    <row r="267" spans="1:8" ht="22.5" customHeight="1" x14ac:dyDescent="0.25">
      <c r="A267" t="s">
        <v>13</v>
      </c>
      <c r="B267" t="str">
        <f ca="1">VLOOKUP(RANDBETWEEN(1,3),Tabla1[],2,FALSE)</f>
        <v xml:space="preserve">Sur </v>
      </c>
      <c r="C267">
        <v>2020</v>
      </c>
      <c r="D267" t="str">
        <f ca="1">VLOOKUP(RANDBETWEEN(1,4),Tabla2[],2,FALSE)</f>
        <v>1er Trimestre</v>
      </c>
      <c r="E267" t="str">
        <f ca="1">VLOOKUP(RANDBETWEEN(1,8),Tabla3[],2,FALSE)</f>
        <v>Laptops</v>
      </c>
      <c r="F267" s="15">
        <f ca="1">VLOOKUP(RANDBETWEEN(1,12),Tabla4[],2,FALSE)</f>
        <v>95945</v>
      </c>
      <c r="G267" s="15">
        <f ca="1">Tabladatos[[#This Row],[Ingresos]]*VLOOKUP(RANDBETWEEN(1,10),Tabla5[],2,FALSE)</f>
        <v>76756</v>
      </c>
      <c r="H267" s="15">
        <f ca="1">Tabladatos[[#This Row],[Ingresos]]-Tabladatos[[#This Row],[Costos]]</f>
        <v>19189</v>
      </c>
    </row>
    <row r="268" spans="1:8" ht="22.5" customHeight="1" x14ac:dyDescent="0.25">
      <c r="A268" t="s">
        <v>13</v>
      </c>
      <c r="B268" t="str">
        <f ca="1">VLOOKUP(RANDBETWEEN(1,3),Tabla1[],2,FALSE)</f>
        <v>Norte</v>
      </c>
      <c r="C268">
        <v>2020</v>
      </c>
      <c r="D268" t="str">
        <f ca="1">VLOOKUP(RANDBETWEEN(1,4),Tabla2[],2,FALSE)</f>
        <v>1er Trimestre</v>
      </c>
      <c r="E268" t="str">
        <f ca="1">VLOOKUP(RANDBETWEEN(1,8),Tabla3[],2,FALSE)</f>
        <v>Memorias USB</v>
      </c>
      <c r="F268" s="15">
        <f ca="1">VLOOKUP(RANDBETWEEN(1,12),Tabla4[],2,FALSE)</f>
        <v>365285</v>
      </c>
      <c r="G268" s="15">
        <f ca="1">Tabladatos[[#This Row],[Ingresos]]*VLOOKUP(RANDBETWEEN(1,10),Tabla5[],2,FALSE)</f>
        <v>255699.49999999997</v>
      </c>
      <c r="H268" s="15">
        <f ca="1">Tabladatos[[#This Row],[Ingresos]]-Tabladatos[[#This Row],[Costos]]</f>
        <v>109585.50000000003</v>
      </c>
    </row>
    <row r="269" spans="1:8" ht="22.5" customHeight="1" x14ac:dyDescent="0.25">
      <c r="A269" t="s">
        <v>13</v>
      </c>
      <c r="B269" t="str">
        <f ca="1">VLOOKUP(RANDBETWEEN(1,3),Tabla1[],2,FALSE)</f>
        <v xml:space="preserve">Sur </v>
      </c>
      <c r="C269">
        <v>2020</v>
      </c>
      <c r="D269" t="str">
        <f ca="1">VLOOKUP(RANDBETWEEN(1,4),Tabla2[],2,FALSE)</f>
        <v>2do Trimestre</v>
      </c>
      <c r="E269" t="str">
        <f ca="1">VLOOKUP(RANDBETWEEN(1,8),Tabla3[],2,FALSE)</f>
        <v>Computadoras</v>
      </c>
      <c r="F269" s="15">
        <f ca="1">VLOOKUP(RANDBETWEEN(1,12),Tabla4[],2,FALSE)</f>
        <v>599800</v>
      </c>
      <c r="G269" s="15">
        <f ca="1">Tabladatos[[#This Row],[Ingresos]]*VLOOKUP(RANDBETWEEN(1,10),Tabla5[],2,FALSE)</f>
        <v>419860</v>
      </c>
      <c r="H269" s="15">
        <f ca="1">Tabladatos[[#This Row],[Ingresos]]-Tabladatos[[#This Row],[Costos]]</f>
        <v>179940</v>
      </c>
    </row>
    <row r="270" spans="1:8" ht="22.5" customHeight="1" x14ac:dyDescent="0.25">
      <c r="A270" t="s">
        <v>13</v>
      </c>
      <c r="B270" t="str">
        <f ca="1">VLOOKUP(RANDBETWEEN(1,3),Tabla1[],2,FALSE)</f>
        <v>Central</v>
      </c>
      <c r="C270">
        <v>2020</v>
      </c>
      <c r="D270" t="str">
        <f ca="1">VLOOKUP(RANDBETWEEN(1,4),Tabla2[],2,FALSE)</f>
        <v>3er Trimestre</v>
      </c>
      <c r="E270" t="str">
        <f ca="1">VLOOKUP(RANDBETWEEN(1,8),Tabla3[],2,FALSE)</f>
        <v>Memorias USB</v>
      </c>
      <c r="F270" s="15">
        <f ca="1">VLOOKUP(RANDBETWEEN(1,12),Tabla4[],2,FALSE)</f>
        <v>27300</v>
      </c>
      <c r="G270" s="15">
        <f ca="1">Tabladatos[[#This Row],[Ingresos]]*VLOOKUP(RANDBETWEEN(1,10),Tabla5[],2,FALSE)</f>
        <v>16380</v>
      </c>
      <c r="H270" s="15">
        <f ca="1">Tabladatos[[#This Row],[Ingresos]]-Tabladatos[[#This Row],[Costos]]</f>
        <v>10920</v>
      </c>
    </row>
    <row r="271" spans="1:8" ht="22.5" customHeight="1" x14ac:dyDescent="0.25">
      <c r="A271" t="s">
        <v>13</v>
      </c>
      <c r="B271" t="str">
        <f ca="1">VLOOKUP(RANDBETWEEN(1,3),Tabla1[],2,FALSE)</f>
        <v>Central</v>
      </c>
      <c r="C271">
        <v>2020</v>
      </c>
      <c r="D271" t="str">
        <f ca="1">VLOOKUP(RANDBETWEEN(1,4),Tabla2[],2,FALSE)</f>
        <v>2do Trimestre</v>
      </c>
      <c r="E271" t="str">
        <f ca="1">VLOOKUP(RANDBETWEEN(1,8),Tabla3[],2,FALSE)</f>
        <v>Memorias USB</v>
      </c>
      <c r="F271" s="15">
        <f ca="1">VLOOKUP(RANDBETWEEN(1,12),Tabla4[],2,FALSE)</f>
        <v>415765</v>
      </c>
      <c r="G271" s="15">
        <f ca="1">Tabladatos[[#This Row],[Ingresos]]*VLOOKUP(RANDBETWEEN(1,10),Tabla5[],2,FALSE)</f>
        <v>103941.25</v>
      </c>
      <c r="H271" s="15">
        <f ca="1">Tabladatos[[#This Row],[Ingresos]]-Tabladatos[[#This Row],[Costos]]</f>
        <v>311823.75</v>
      </c>
    </row>
    <row r="272" spans="1:8" ht="22.5" customHeight="1" x14ac:dyDescent="0.25">
      <c r="A272" t="s">
        <v>13</v>
      </c>
      <c r="B272" t="str">
        <f ca="1">VLOOKUP(RANDBETWEEN(1,3),Tabla1[],2,FALSE)</f>
        <v>Central</v>
      </c>
      <c r="C272">
        <v>2020</v>
      </c>
      <c r="D272" t="str">
        <f ca="1">VLOOKUP(RANDBETWEEN(1,4),Tabla2[],2,FALSE)</f>
        <v>1er Trimestre</v>
      </c>
      <c r="E272" t="str">
        <f ca="1">VLOOKUP(RANDBETWEEN(1,8),Tabla3[],2,FALSE)</f>
        <v>Computadoras</v>
      </c>
      <c r="F272" s="15">
        <f ca="1">VLOOKUP(RANDBETWEEN(1,12),Tabla4[],2,FALSE)</f>
        <v>95945</v>
      </c>
      <c r="G272" s="15">
        <f ca="1">Tabladatos[[#This Row],[Ingresos]]*VLOOKUP(RANDBETWEEN(1,10),Tabla5[],2,FALSE)</f>
        <v>47972.5</v>
      </c>
      <c r="H272" s="15">
        <f ca="1">Tabladatos[[#This Row],[Ingresos]]-Tabladatos[[#This Row],[Costos]]</f>
        <v>47972.5</v>
      </c>
    </row>
    <row r="273" spans="1:8" ht="22.5" customHeight="1" x14ac:dyDescent="0.25">
      <c r="A273" t="s">
        <v>13</v>
      </c>
      <c r="B273" t="str">
        <f ca="1">VLOOKUP(RANDBETWEEN(1,3),Tabla1[],2,FALSE)</f>
        <v xml:space="preserve">Sur </v>
      </c>
      <c r="C273">
        <v>2020</v>
      </c>
      <c r="D273" t="str">
        <f ca="1">VLOOKUP(RANDBETWEEN(1,4),Tabla2[],2,FALSE)</f>
        <v>3er Trimestre</v>
      </c>
      <c r="E273" t="str">
        <f ca="1">VLOOKUP(RANDBETWEEN(1,8),Tabla3[],2,FALSE)</f>
        <v>Escáners</v>
      </c>
      <c r="F273" s="15">
        <f ca="1">VLOOKUP(RANDBETWEEN(1,12),Tabla4[],2,FALSE)</f>
        <v>365285</v>
      </c>
      <c r="G273" s="15">
        <f ca="1">Tabladatos[[#This Row],[Ingresos]]*VLOOKUP(RANDBETWEEN(1,10),Tabla5[],2,FALSE)</f>
        <v>255699.49999999997</v>
      </c>
      <c r="H273" s="15">
        <f ca="1">Tabladatos[[#This Row],[Ingresos]]-Tabladatos[[#This Row],[Costos]]</f>
        <v>109585.50000000003</v>
      </c>
    </row>
    <row r="274" spans="1:8" ht="22.5" customHeight="1" x14ac:dyDescent="0.25">
      <c r="A274" t="s">
        <v>13</v>
      </c>
      <c r="B274" t="str">
        <f ca="1">VLOOKUP(RANDBETWEEN(1,3),Tabla1[],2,FALSE)</f>
        <v>Central</v>
      </c>
      <c r="C274">
        <v>2020</v>
      </c>
      <c r="D274" t="str">
        <f ca="1">VLOOKUP(RANDBETWEEN(1,4),Tabla2[],2,FALSE)</f>
        <v>1er Trimestre</v>
      </c>
      <c r="E274" t="str">
        <f ca="1">VLOOKUP(RANDBETWEEN(1,8),Tabla3[],2,FALSE)</f>
        <v>Memorias USB</v>
      </c>
      <c r="F274" s="15">
        <f ca="1">VLOOKUP(RANDBETWEEN(1,12),Tabla4[],2,FALSE)</f>
        <v>535990</v>
      </c>
      <c r="G274" s="15">
        <f ca="1">Tabladatos[[#This Row],[Ingresos]]*VLOOKUP(RANDBETWEEN(1,10),Tabla5[],2,FALSE)</f>
        <v>321594</v>
      </c>
      <c r="H274" s="15">
        <f ca="1">Tabladatos[[#This Row],[Ingresos]]-Tabladatos[[#This Row],[Costos]]</f>
        <v>214396</v>
      </c>
    </row>
    <row r="275" spans="1:8" ht="22.5" customHeight="1" x14ac:dyDescent="0.25">
      <c r="A275" t="s">
        <v>13</v>
      </c>
      <c r="B275" t="str">
        <f ca="1">VLOOKUP(RANDBETWEEN(1,3),Tabla1[],2,FALSE)</f>
        <v>Norte</v>
      </c>
      <c r="C275">
        <v>2020</v>
      </c>
      <c r="D275" t="str">
        <f ca="1">VLOOKUP(RANDBETWEEN(1,4),Tabla2[],2,FALSE)</f>
        <v>2do Trimestre</v>
      </c>
      <c r="E275" t="str">
        <f ca="1">VLOOKUP(RANDBETWEEN(1,8),Tabla3[],2,FALSE)</f>
        <v>Monitores</v>
      </c>
      <c r="F275" s="15">
        <f ca="1">VLOOKUP(RANDBETWEEN(1,12),Tabla4[],2,FALSE)</f>
        <v>415765</v>
      </c>
      <c r="G275" s="15">
        <f ca="1">Tabladatos[[#This Row],[Ingresos]]*VLOOKUP(RANDBETWEEN(1,10),Tabla5[],2,FALSE)</f>
        <v>41576.5</v>
      </c>
      <c r="H275" s="15">
        <f ca="1">Tabladatos[[#This Row],[Ingresos]]-Tabladatos[[#This Row],[Costos]]</f>
        <v>374188.5</v>
      </c>
    </row>
    <row r="276" spans="1:8" ht="22.5" customHeight="1" x14ac:dyDescent="0.25">
      <c r="A276" t="s">
        <v>13</v>
      </c>
      <c r="B276" t="str">
        <f ca="1">VLOOKUP(RANDBETWEEN(1,3),Tabla1[],2,FALSE)</f>
        <v xml:space="preserve">Sur </v>
      </c>
      <c r="C276">
        <v>2020</v>
      </c>
      <c r="D276" t="str">
        <f ca="1">VLOOKUP(RANDBETWEEN(1,4),Tabla2[],2,FALSE)</f>
        <v>1er Trimestre</v>
      </c>
      <c r="E276" t="str">
        <f ca="1">VLOOKUP(RANDBETWEEN(1,8),Tabla3[],2,FALSE)</f>
        <v>Escáners</v>
      </c>
      <c r="F276" s="15">
        <f ca="1">VLOOKUP(RANDBETWEEN(1,12),Tabla4[],2,FALSE)</f>
        <v>228990</v>
      </c>
      <c r="G276" s="15">
        <f ca="1">Tabladatos[[#This Row],[Ingresos]]*VLOOKUP(RANDBETWEEN(1,10),Tabla5[],2,FALSE)</f>
        <v>22899</v>
      </c>
      <c r="H276" s="15">
        <f ca="1">Tabladatos[[#This Row],[Ingresos]]-Tabladatos[[#This Row],[Costos]]</f>
        <v>206091</v>
      </c>
    </row>
    <row r="277" spans="1:8" ht="22.5" customHeight="1" x14ac:dyDescent="0.25">
      <c r="A277" t="s">
        <v>13</v>
      </c>
      <c r="B277" t="str">
        <f ca="1">VLOOKUP(RANDBETWEEN(1,3),Tabla1[],2,FALSE)</f>
        <v>Norte</v>
      </c>
      <c r="C277">
        <v>2020</v>
      </c>
      <c r="D277" t="str">
        <f ca="1">VLOOKUP(RANDBETWEEN(1,4),Tabla2[],2,FALSE)</f>
        <v>1er Trimestre</v>
      </c>
      <c r="E277" t="str">
        <f ca="1">VLOOKUP(RANDBETWEEN(1,8),Tabla3[],2,FALSE)</f>
        <v>Escáners</v>
      </c>
      <c r="F277" s="15">
        <f ca="1">VLOOKUP(RANDBETWEEN(1,12),Tabla4[],2,FALSE)</f>
        <v>490000</v>
      </c>
      <c r="G277" s="15">
        <f ca="1">Tabladatos[[#This Row],[Ingresos]]*VLOOKUP(RANDBETWEEN(1,10),Tabla5[],2,FALSE)</f>
        <v>49000</v>
      </c>
      <c r="H277" s="15">
        <f ca="1">Tabladatos[[#This Row],[Ingresos]]-Tabladatos[[#This Row],[Costos]]</f>
        <v>441000</v>
      </c>
    </row>
    <row r="278" spans="1:8" ht="22.5" customHeight="1" x14ac:dyDescent="0.25">
      <c r="A278" t="s">
        <v>13</v>
      </c>
      <c r="B278" t="str">
        <f ca="1">VLOOKUP(RANDBETWEEN(1,3),Tabla1[],2,FALSE)</f>
        <v>Norte</v>
      </c>
      <c r="C278">
        <v>2020</v>
      </c>
      <c r="D278" t="str">
        <f ca="1">VLOOKUP(RANDBETWEEN(1,4),Tabla2[],2,FALSE)</f>
        <v>3er Trimestre</v>
      </c>
      <c r="E278" t="str">
        <f ca="1">VLOOKUP(RANDBETWEEN(1,8),Tabla3[],2,FALSE)</f>
        <v>Impresoras</v>
      </c>
      <c r="F278" s="15">
        <f ca="1">VLOOKUP(RANDBETWEEN(1,12),Tabla4[],2,FALSE)</f>
        <v>27300</v>
      </c>
      <c r="G278" s="15">
        <f ca="1">Tabladatos[[#This Row],[Ingresos]]*VLOOKUP(RANDBETWEEN(1,10),Tabla5[],2,FALSE)</f>
        <v>8190</v>
      </c>
      <c r="H278" s="15">
        <f ca="1">Tabladatos[[#This Row],[Ingresos]]-Tabladatos[[#This Row],[Costos]]</f>
        <v>19110</v>
      </c>
    </row>
    <row r="279" spans="1:8" ht="22.5" customHeight="1" x14ac:dyDescent="0.25">
      <c r="A279" t="s">
        <v>13</v>
      </c>
      <c r="B279" t="str">
        <f ca="1">VLOOKUP(RANDBETWEEN(1,3),Tabla1[],2,FALSE)</f>
        <v xml:space="preserve">Sur </v>
      </c>
      <c r="C279">
        <v>2020</v>
      </c>
      <c r="D279" t="str">
        <f ca="1">VLOOKUP(RANDBETWEEN(1,4),Tabla2[],2,FALSE)</f>
        <v>4to Trimestre</v>
      </c>
      <c r="E279" t="str">
        <f ca="1">VLOOKUP(RANDBETWEEN(1,8),Tabla3[],2,FALSE)</f>
        <v>SSD</v>
      </c>
      <c r="F279" s="15">
        <f ca="1">VLOOKUP(RANDBETWEEN(1,12),Tabla4[],2,FALSE)</f>
        <v>535990</v>
      </c>
      <c r="G279" s="15">
        <f ca="1">Tabladatos[[#This Row],[Ingresos]]*VLOOKUP(RANDBETWEEN(1,10),Tabla5[],2,FALSE)</f>
        <v>428792</v>
      </c>
      <c r="H279" s="15">
        <f ca="1">Tabladatos[[#This Row],[Ingresos]]-Tabladatos[[#This Row],[Costos]]</f>
        <v>107198</v>
      </c>
    </row>
    <row r="280" spans="1:8" ht="22.5" customHeight="1" x14ac:dyDescent="0.25">
      <c r="A280" t="s">
        <v>13</v>
      </c>
      <c r="B280" t="str">
        <f ca="1">VLOOKUP(RANDBETWEEN(1,3),Tabla1[],2,FALSE)</f>
        <v xml:space="preserve">Sur </v>
      </c>
      <c r="C280">
        <v>2020</v>
      </c>
      <c r="D280" t="str">
        <f ca="1">VLOOKUP(RANDBETWEEN(1,4),Tabla2[],2,FALSE)</f>
        <v>1er Trimestre</v>
      </c>
      <c r="E280" t="str">
        <f ca="1">VLOOKUP(RANDBETWEEN(1,8),Tabla3[],2,FALSE)</f>
        <v>Monitores</v>
      </c>
      <c r="F280" s="15">
        <f ca="1">VLOOKUP(RANDBETWEEN(1,12),Tabla4[],2,FALSE)</f>
        <v>95945</v>
      </c>
      <c r="G280" s="15">
        <f ca="1">Tabladatos[[#This Row],[Ingresos]]*VLOOKUP(RANDBETWEEN(1,10),Tabla5[],2,FALSE)</f>
        <v>38378</v>
      </c>
      <c r="H280" s="15">
        <f ca="1">Tabladatos[[#This Row],[Ingresos]]-Tabladatos[[#This Row],[Costos]]</f>
        <v>57567</v>
      </c>
    </row>
    <row r="281" spans="1:8" ht="22.5" customHeight="1" x14ac:dyDescent="0.25">
      <c r="A281" t="s">
        <v>13</v>
      </c>
      <c r="B281" t="str">
        <f ca="1">VLOOKUP(RANDBETWEEN(1,3),Tabla1[],2,FALSE)</f>
        <v>Norte</v>
      </c>
      <c r="C281">
        <v>2020</v>
      </c>
      <c r="D281" t="str">
        <f ca="1">VLOOKUP(RANDBETWEEN(1,4),Tabla2[],2,FALSE)</f>
        <v>1er Trimestre</v>
      </c>
      <c r="E281" t="str">
        <f ca="1">VLOOKUP(RANDBETWEEN(1,8),Tabla3[],2,FALSE)</f>
        <v>Tarjetas Wifi</v>
      </c>
      <c r="F281" s="15">
        <f ca="1">VLOOKUP(RANDBETWEEN(1,12),Tabla4[],2,FALSE)</f>
        <v>300000</v>
      </c>
      <c r="G281" s="15">
        <f ca="1">Tabladatos[[#This Row],[Ingresos]]*VLOOKUP(RANDBETWEEN(1,10),Tabla5[],2,FALSE)</f>
        <v>90000</v>
      </c>
      <c r="H281" s="15">
        <f ca="1">Tabladatos[[#This Row],[Ingresos]]-Tabladatos[[#This Row],[Costos]]</f>
        <v>210000</v>
      </c>
    </row>
    <row r="282" spans="1:8" ht="22.5" customHeight="1" x14ac:dyDescent="0.25">
      <c r="A282" t="s">
        <v>13</v>
      </c>
      <c r="B282" t="str">
        <f ca="1">VLOOKUP(RANDBETWEEN(1,3),Tabla1[],2,FALSE)</f>
        <v>Norte</v>
      </c>
      <c r="C282">
        <v>2020</v>
      </c>
      <c r="D282" t="str">
        <f ca="1">VLOOKUP(RANDBETWEEN(1,4),Tabla2[],2,FALSE)</f>
        <v>1er Trimestre</v>
      </c>
      <c r="E282" t="str">
        <f ca="1">VLOOKUP(RANDBETWEEN(1,8),Tabla3[],2,FALSE)</f>
        <v>Impresoras</v>
      </c>
      <c r="F282" s="15">
        <f ca="1">VLOOKUP(RANDBETWEEN(1,12),Tabla4[],2,FALSE)</f>
        <v>170000</v>
      </c>
      <c r="G282" s="15">
        <f ca="1">Tabladatos[[#This Row],[Ingresos]]*VLOOKUP(RANDBETWEEN(1,10),Tabla5[],2,FALSE)</f>
        <v>118999.99999999999</v>
      </c>
      <c r="H282" s="15">
        <f ca="1">Tabladatos[[#This Row],[Ingresos]]-Tabladatos[[#This Row],[Costos]]</f>
        <v>51000.000000000015</v>
      </c>
    </row>
    <row r="283" spans="1:8" ht="22.5" customHeight="1" x14ac:dyDescent="0.25">
      <c r="A283" t="s">
        <v>13</v>
      </c>
      <c r="B283" t="str">
        <f ca="1">VLOOKUP(RANDBETWEEN(1,3),Tabla1[],2,FALSE)</f>
        <v>Norte</v>
      </c>
      <c r="C283">
        <v>2020</v>
      </c>
      <c r="D283" t="str">
        <f ca="1">VLOOKUP(RANDBETWEEN(1,4),Tabla2[],2,FALSE)</f>
        <v>3er Trimestre</v>
      </c>
      <c r="E283" t="str">
        <f ca="1">VLOOKUP(RANDBETWEEN(1,8),Tabla3[],2,FALSE)</f>
        <v>Impresoras</v>
      </c>
      <c r="F283" s="15">
        <f ca="1">VLOOKUP(RANDBETWEEN(1,12),Tabla4[],2,FALSE)</f>
        <v>599800</v>
      </c>
      <c r="G283" s="15">
        <f ca="1">Tabladatos[[#This Row],[Ingresos]]*VLOOKUP(RANDBETWEEN(1,10),Tabla5[],2,FALSE)</f>
        <v>479840</v>
      </c>
      <c r="H283" s="15">
        <f ca="1">Tabladatos[[#This Row],[Ingresos]]-Tabladatos[[#This Row],[Costos]]</f>
        <v>119960</v>
      </c>
    </row>
    <row r="284" spans="1:8" ht="22.5" customHeight="1" x14ac:dyDescent="0.25">
      <c r="A284" t="s">
        <v>13</v>
      </c>
      <c r="B284" t="str">
        <f ca="1">VLOOKUP(RANDBETWEEN(1,3),Tabla1[],2,FALSE)</f>
        <v>Norte</v>
      </c>
      <c r="C284">
        <v>2020</v>
      </c>
      <c r="D284" t="str">
        <f ca="1">VLOOKUP(RANDBETWEEN(1,4),Tabla2[],2,FALSE)</f>
        <v>1er Trimestre</v>
      </c>
      <c r="E284" t="str">
        <f ca="1">VLOOKUP(RANDBETWEEN(1,8),Tabla3[],2,FALSE)</f>
        <v>Laptops</v>
      </c>
      <c r="F284" s="15">
        <f ca="1">VLOOKUP(RANDBETWEEN(1,12),Tabla4[],2,FALSE)</f>
        <v>365285</v>
      </c>
      <c r="G284" s="15">
        <f ca="1">Tabladatos[[#This Row],[Ingresos]]*VLOOKUP(RANDBETWEEN(1,10),Tabla5[],2,FALSE)</f>
        <v>91321.25</v>
      </c>
      <c r="H284" s="15">
        <f ca="1">Tabladatos[[#This Row],[Ingresos]]-Tabladatos[[#This Row],[Costos]]</f>
        <v>273963.75</v>
      </c>
    </row>
    <row r="285" spans="1:8" ht="22.5" customHeight="1" x14ac:dyDescent="0.25">
      <c r="A285" t="s">
        <v>13</v>
      </c>
      <c r="B285" t="str">
        <f ca="1">VLOOKUP(RANDBETWEEN(1,3),Tabla1[],2,FALSE)</f>
        <v xml:space="preserve">Sur </v>
      </c>
      <c r="C285">
        <v>2020</v>
      </c>
      <c r="D285" t="str">
        <f ca="1">VLOOKUP(RANDBETWEEN(1,4),Tabla2[],2,FALSE)</f>
        <v>1er Trimestre</v>
      </c>
      <c r="E285" t="str">
        <f ca="1">VLOOKUP(RANDBETWEEN(1,8),Tabla3[],2,FALSE)</f>
        <v>Tarjetas Wifi</v>
      </c>
      <c r="F285" s="15">
        <f ca="1">VLOOKUP(RANDBETWEEN(1,12),Tabla4[],2,FALSE)</f>
        <v>228990</v>
      </c>
      <c r="G285" s="15">
        <f ca="1">Tabladatos[[#This Row],[Ingresos]]*VLOOKUP(RANDBETWEEN(1,10),Tabla5[],2,FALSE)</f>
        <v>114495</v>
      </c>
      <c r="H285" s="15">
        <f ca="1">Tabladatos[[#This Row],[Ingresos]]-Tabladatos[[#This Row],[Costos]]</f>
        <v>114495</v>
      </c>
    </row>
    <row r="286" spans="1:8" ht="22.5" customHeight="1" x14ac:dyDescent="0.25">
      <c r="A286" t="s">
        <v>13</v>
      </c>
      <c r="B286" t="str">
        <f ca="1">VLOOKUP(RANDBETWEEN(1,3),Tabla1[],2,FALSE)</f>
        <v>Central</v>
      </c>
      <c r="C286">
        <v>2020</v>
      </c>
      <c r="D286" t="str">
        <f ca="1">VLOOKUP(RANDBETWEEN(1,4),Tabla2[],2,FALSE)</f>
        <v>1er Trimestre</v>
      </c>
      <c r="E286" t="str">
        <f ca="1">VLOOKUP(RANDBETWEEN(1,8),Tabla3[],2,FALSE)</f>
        <v>Tarjetas Wifi</v>
      </c>
      <c r="F286" s="15">
        <f ca="1">VLOOKUP(RANDBETWEEN(1,12),Tabla4[],2,FALSE)</f>
        <v>599800</v>
      </c>
      <c r="G286" s="15">
        <f ca="1">Tabladatos[[#This Row],[Ingresos]]*VLOOKUP(RANDBETWEEN(1,10),Tabla5[],2,FALSE)</f>
        <v>359880</v>
      </c>
      <c r="H286" s="15">
        <f ca="1">Tabladatos[[#This Row],[Ingresos]]-Tabladatos[[#This Row],[Costos]]</f>
        <v>239920</v>
      </c>
    </row>
    <row r="287" spans="1:8" ht="22.5" customHeight="1" x14ac:dyDescent="0.25">
      <c r="A287" t="s">
        <v>13</v>
      </c>
      <c r="B287" t="str">
        <f ca="1">VLOOKUP(RANDBETWEEN(1,3),Tabla1[],2,FALSE)</f>
        <v xml:space="preserve">Sur </v>
      </c>
      <c r="C287">
        <v>2020</v>
      </c>
      <c r="D287" t="str">
        <f ca="1">VLOOKUP(RANDBETWEEN(1,4),Tabla2[],2,FALSE)</f>
        <v>1er Trimestre</v>
      </c>
      <c r="E287" t="str">
        <f ca="1">VLOOKUP(RANDBETWEEN(1,8),Tabla3[],2,FALSE)</f>
        <v>SSD</v>
      </c>
      <c r="F287" s="15">
        <f ca="1">VLOOKUP(RANDBETWEEN(1,12),Tabla4[],2,FALSE)</f>
        <v>365285</v>
      </c>
      <c r="G287" s="15">
        <f ca="1">Tabladatos[[#This Row],[Ingresos]]*VLOOKUP(RANDBETWEEN(1,10),Tabla5[],2,FALSE)</f>
        <v>219171</v>
      </c>
      <c r="H287" s="15">
        <f ca="1">Tabladatos[[#This Row],[Ingresos]]-Tabladatos[[#This Row],[Costos]]</f>
        <v>146114</v>
      </c>
    </row>
    <row r="288" spans="1:8" ht="22.5" customHeight="1" x14ac:dyDescent="0.25">
      <c r="A288" t="s">
        <v>13</v>
      </c>
      <c r="B288" t="str">
        <f ca="1">VLOOKUP(RANDBETWEEN(1,3),Tabla1[],2,FALSE)</f>
        <v>Norte</v>
      </c>
      <c r="C288">
        <v>2020</v>
      </c>
      <c r="D288" t="str">
        <f ca="1">VLOOKUP(RANDBETWEEN(1,4),Tabla2[],2,FALSE)</f>
        <v>4to Trimestre</v>
      </c>
      <c r="E288" t="str">
        <f ca="1">VLOOKUP(RANDBETWEEN(1,8),Tabla3[],2,FALSE)</f>
        <v>Laptops</v>
      </c>
      <c r="F288" s="15">
        <f ca="1">VLOOKUP(RANDBETWEEN(1,12),Tabla4[],2,FALSE)</f>
        <v>365285</v>
      </c>
      <c r="G288" s="15">
        <f ca="1">Tabladatos[[#This Row],[Ingresos]]*VLOOKUP(RANDBETWEEN(1,10),Tabla5[],2,FALSE)</f>
        <v>219171</v>
      </c>
      <c r="H288" s="15">
        <f ca="1">Tabladatos[[#This Row],[Ingresos]]-Tabladatos[[#This Row],[Costos]]</f>
        <v>146114</v>
      </c>
    </row>
    <row r="289" spans="1:8" ht="22.5" customHeight="1" x14ac:dyDescent="0.25">
      <c r="A289" t="s">
        <v>13</v>
      </c>
      <c r="B289" t="str">
        <f ca="1">VLOOKUP(RANDBETWEEN(1,3),Tabla1[],2,FALSE)</f>
        <v>Norte</v>
      </c>
      <c r="C289">
        <v>2020</v>
      </c>
      <c r="D289" t="str">
        <f ca="1">VLOOKUP(RANDBETWEEN(1,4),Tabla2[],2,FALSE)</f>
        <v>1er Trimestre</v>
      </c>
      <c r="E289" t="str">
        <f ca="1">VLOOKUP(RANDBETWEEN(1,8),Tabla3[],2,FALSE)</f>
        <v>Memorias USB</v>
      </c>
      <c r="F289" s="15">
        <f ca="1">VLOOKUP(RANDBETWEEN(1,12),Tabla4[],2,FALSE)</f>
        <v>490000</v>
      </c>
      <c r="G289" s="15">
        <f ca="1">Tabladatos[[#This Row],[Ingresos]]*VLOOKUP(RANDBETWEEN(1,10),Tabla5[],2,FALSE)</f>
        <v>392000</v>
      </c>
      <c r="H289" s="15">
        <f ca="1">Tabladatos[[#This Row],[Ingresos]]-Tabladatos[[#This Row],[Costos]]</f>
        <v>98000</v>
      </c>
    </row>
    <row r="290" spans="1:8" ht="22.5" customHeight="1" x14ac:dyDescent="0.25">
      <c r="A290" t="s">
        <v>13</v>
      </c>
      <c r="B290" t="str">
        <f ca="1">VLOOKUP(RANDBETWEEN(1,3),Tabla1[],2,FALSE)</f>
        <v>Norte</v>
      </c>
      <c r="C290">
        <v>2020</v>
      </c>
      <c r="D290" t="str">
        <f ca="1">VLOOKUP(RANDBETWEEN(1,4),Tabla2[],2,FALSE)</f>
        <v>2do Trimestre</v>
      </c>
      <c r="E290" t="str">
        <f ca="1">VLOOKUP(RANDBETWEEN(1,8),Tabla3[],2,FALSE)</f>
        <v>SSD</v>
      </c>
      <c r="F290" s="15">
        <f ca="1">VLOOKUP(RANDBETWEEN(1,12),Tabla4[],2,FALSE)</f>
        <v>66150</v>
      </c>
      <c r="G290" s="15">
        <f ca="1">Tabladatos[[#This Row],[Ingresos]]*VLOOKUP(RANDBETWEEN(1,10),Tabla5[],2,FALSE)</f>
        <v>6615</v>
      </c>
      <c r="H290" s="15">
        <f ca="1">Tabladatos[[#This Row],[Ingresos]]-Tabladatos[[#This Row],[Costos]]</f>
        <v>59535</v>
      </c>
    </row>
    <row r="291" spans="1:8" ht="22.5" customHeight="1" x14ac:dyDescent="0.25">
      <c r="A291" t="s">
        <v>13</v>
      </c>
      <c r="B291" t="str">
        <f ca="1">VLOOKUP(RANDBETWEEN(1,3),Tabla1[],2,FALSE)</f>
        <v xml:space="preserve">Sur </v>
      </c>
      <c r="C291">
        <v>2020</v>
      </c>
      <c r="D291" t="str">
        <f ca="1">VLOOKUP(RANDBETWEEN(1,4),Tabla2[],2,FALSE)</f>
        <v>2do Trimestre</v>
      </c>
      <c r="E291" t="str">
        <f ca="1">VLOOKUP(RANDBETWEEN(1,8),Tabla3[],2,FALSE)</f>
        <v>Impresoras</v>
      </c>
      <c r="F291" s="15">
        <f ca="1">VLOOKUP(RANDBETWEEN(1,12),Tabla4[],2,FALSE)</f>
        <v>365285</v>
      </c>
      <c r="G291" s="15">
        <f ca="1">Tabladatos[[#This Row],[Ingresos]]*VLOOKUP(RANDBETWEEN(1,10),Tabla5[],2,FALSE)</f>
        <v>54792.75</v>
      </c>
      <c r="H291" s="15">
        <f ca="1">Tabladatos[[#This Row],[Ingresos]]-Tabladatos[[#This Row],[Costos]]</f>
        <v>310492.25</v>
      </c>
    </row>
    <row r="292" spans="1:8" ht="22.5" customHeight="1" x14ac:dyDescent="0.25">
      <c r="A292" t="s">
        <v>13</v>
      </c>
      <c r="B292" t="str">
        <f ca="1">VLOOKUP(RANDBETWEEN(1,3),Tabla1[],2,FALSE)</f>
        <v>Central</v>
      </c>
      <c r="C292">
        <v>2020</v>
      </c>
      <c r="D292" t="str">
        <f ca="1">VLOOKUP(RANDBETWEEN(1,4),Tabla2[],2,FALSE)</f>
        <v>4to Trimestre</v>
      </c>
      <c r="E292" t="str">
        <f ca="1">VLOOKUP(RANDBETWEEN(1,8),Tabla3[],2,FALSE)</f>
        <v>Tarjetas Wifi</v>
      </c>
      <c r="F292" s="15">
        <f ca="1">VLOOKUP(RANDBETWEEN(1,12),Tabla4[],2,FALSE)</f>
        <v>365285</v>
      </c>
      <c r="G292" s="15">
        <f ca="1">Tabladatos[[#This Row],[Ingresos]]*VLOOKUP(RANDBETWEEN(1,10),Tabla5[],2,FALSE)</f>
        <v>73057</v>
      </c>
      <c r="H292" s="15">
        <f ca="1">Tabladatos[[#This Row],[Ingresos]]-Tabladatos[[#This Row],[Costos]]</f>
        <v>292228</v>
      </c>
    </row>
    <row r="293" spans="1:8" ht="22.5" customHeight="1" x14ac:dyDescent="0.25">
      <c r="A293" t="s">
        <v>13</v>
      </c>
      <c r="B293" t="str">
        <f ca="1">VLOOKUP(RANDBETWEEN(1,3),Tabla1[],2,FALSE)</f>
        <v xml:space="preserve">Sur </v>
      </c>
      <c r="C293">
        <v>2020</v>
      </c>
      <c r="D293" t="str">
        <f ca="1">VLOOKUP(RANDBETWEEN(1,4),Tabla2[],2,FALSE)</f>
        <v>1er Trimestre</v>
      </c>
      <c r="E293" t="str">
        <f ca="1">VLOOKUP(RANDBETWEEN(1,8),Tabla3[],2,FALSE)</f>
        <v>SSD</v>
      </c>
      <c r="F293" s="15">
        <f ca="1">VLOOKUP(RANDBETWEEN(1,12),Tabla4[],2,FALSE)</f>
        <v>490000</v>
      </c>
      <c r="G293" s="15">
        <f ca="1">Tabladatos[[#This Row],[Ingresos]]*VLOOKUP(RANDBETWEEN(1,10),Tabla5[],2,FALSE)</f>
        <v>73500</v>
      </c>
      <c r="H293" s="15">
        <f ca="1">Tabladatos[[#This Row],[Ingresos]]-Tabladatos[[#This Row],[Costos]]</f>
        <v>416500</v>
      </c>
    </row>
    <row r="294" spans="1:8" ht="22.5" customHeight="1" x14ac:dyDescent="0.25">
      <c r="A294" t="s">
        <v>13</v>
      </c>
      <c r="B294" t="str">
        <f ca="1">VLOOKUP(RANDBETWEEN(1,3),Tabla1[],2,FALSE)</f>
        <v xml:space="preserve">Sur </v>
      </c>
      <c r="C294">
        <v>2020</v>
      </c>
      <c r="D294" t="str">
        <f ca="1">VLOOKUP(RANDBETWEEN(1,4),Tabla2[],2,FALSE)</f>
        <v>2do Trimestre</v>
      </c>
      <c r="E294" t="str">
        <f ca="1">VLOOKUP(RANDBETWEEN(1,8),Tabla3[],2,FALSE)</f>
        <v>SSD</v>
      </c>
      <c r="F294" s="15">
        <f ca="1">VLOOKUP(RANDBETWEEN(1,12),Tabla4[],2,FALSE)</f>
        <v>170000</v>
      </c>
      <c r="G294" s="15">
        <f ca="1">Tabladatos[[#This Row],[Ingresos]]*VLOOKUP(RANDBETWEEN(1,10),Tabla5[],2,FALSE)</f>
        <v>102000</v>
      </c>
      <c r="H294" s="15">
        <f ca="1">Tabladatos[[#This Row],[Ingresos]]-Tabladatos[[#This Row],[Costos]]</f>
        <v>68000</v>
      </c>
    </row>
    <row r="295" spans="1:8" ht="22.5" customHeight="1" x14ac:dyDescent="0.25">
      <c r="A295" t="s">
        <v>13</v>
      </c>
      <c r="B295" t="str">
        <f ca="1">VLOOKUP(RANDBETWEEN(1,3),Tabla1[],2,FALSE)</f>
        <v>Norte</v>
      </c>
      <c r="C295">
        <v>2020</v>
      </c>
      <c r="D295" t="str">
        <f ca="1">VLOOKUP(RANDBETWEEN(1,4),Tabla2[],2,FALSE)</f>
        <v>1er Trimestre</v>
      </c>
      <c r="E295" t="str">
        <f ca="1">VLOOKUP(RANDBETWEEN(1,8),Tabla3[],2,FALSE)</f>
        <v>Escáners</v>
      </c>
      <c r="F295" s="15">
        <f ca="1">VLOOKUP(RANDBETWEEN(1,12),Tabla4[],2,FALSE)</f>
        <v>170000</v>
      </c>
      <c r="G295" s="15">
        <f ca="1">Tabladatos[[#This Row],[Ingresos]]*VLOOKUP(RANDBETWEEN(1,10),Tabla5[],2,FALSE)</f>
        <v>17000</v>
      </c>
      <c r="H295" s="15">
        <f ca="1">Tabladatos[[#This Row],[Ingresos]]-Tabladatos[[#This Row],[Costos]]</f>
        <v>153000</v>
      </c>
    </row>
    <row r="296" spans="1:8" ht="22.5" customHeight="1" x14ac:dyDescent="0.25">
      <c r="A296" t="s">
        <v>13</v>
      </c>
      <c r="B296" t="str">
        <f ca="1">VLOOKUP(RANDBETWEEN(1,3),Tabla1[],2,FALSE)</f>
        <v xml:space="preserve">Sur </v>
      </c>
      <c r="C296">
        <v>2020</v>
      </c>
      <c r="D296" t="str">
        <f ca="1">VLOOKUP(RANDBETWEEN(1,4),Tabla2[],2,FALSE)</f>
        <v>3er Trimestre</v>
      </c>
      <c r="E296" t="str">
        <f ca="1">VLOOKUP(RANDBETWEEN(1,8),Tabla3[],2,FALSE)</f>
        <v>Impresoras</v>
      </c>
      <c r="F296" s="15">
        <f ca="1">VLOOKUP(RANDBETWEEN(1,12),Tabla4[],2,FALSE)</f>
        <v>535990</v>
      </c>
      <c r="G296" s="15">
        <f ca="1">Tabladatos[[#This Row],[Ingresos]]*VLOOKUP(RANDBETWEEN(1,10),Tabla5[],2,FALSE)</f>
        <v>80398.5</v>
      </c>
      <c r="H296" s="15">
        <f ca="1">Tabladatos[[#This Row],[Ingresos]]-Tabladatos[[#This Row],[Costos]]</f>
        <v>455591.5</v>
      </c>
    </row>
    <row r="297" spans="1:8" ht="22.5" customHeight="1" x14ac:dyDescent="0.25">
      <c r="A297" t="s">
        <v>13</v>
      </c>
      <c r="B297" t="str">
        <f ca="1">VLOOKUP(RANDBETWEEN(1,3),Tabla1[],2,FALSE)</f>
        <v>Norte</v>
      </c>
      <c r="C297">
        <v>2020</v>
      </c>
      <c r="D297" t="str">
        <f ca="1">VLOOKUP(RANDBETWEEN(1,4),Tabla2[],2,FALSE)</f>
        <v>1er Trimestre</v>
      </c>
      <c r="E297" t="str">
        <f ca="1">VLOOKUP(RANDBETWEEN(1,8),Tabla3[],2,FALSE)</f>
        <v>Impresoras</v>
      </c>
      <c r="F297" s="15">
        <f ca="1">VLOOKUP(RANDBETWEEN(1,12),Tabla4[],2,FALSE)</f>
        <v>300000</v>
      </c>
      <c r="G297" s="15">
        <f ca="1">Tabladatos[[#This Row],[Ingresos]]*VLOOKUP(RANDBETWEEN(1,10),Tabla5[],2,FALSE)</f>
        <v>90000</v>
      </c>
      <c r="H297" s="15">
        <f ca="1">Tabladatos[[#This Row],[Ingresos]]-Tabladatos[[#This Row],[Costos]]</f>
        <v>210000</v>
      </c>
    </row>
    <row r="298" spans="1:8" ht="22.5" customHeight="1" x14ac:dyDescent="0.25">
      <c r="A298" t="s">
        <v>13</v>
      </c>
      <c r="B298" t="str">
        <f ca="1">VLOOKUP(RANDBETWEEN(1,3),Tabla1[],2,FALSE)</f>
        <v xml:space="preserve">Sur </v>
      </c>
      <c r="C298">
        <v>2020</v>
      </c>
      <c r="D298" t="str">
        <f ca="1">VLOOKUP(RANDBETWEEN(1,4),Tabla2[],2,FALSE)</f>
        <v>3er Trimestre</v>
      </c>
      <c r="E298" t="str">
        <f ca="1">VLOOKUP(RANDBETWEEN(1,8),Tabla3[],2,FALSE)</f>
        <v>Computadoras</v>
      </c>
      <c r="F298" s="15">
        <f ca="1">VLOOKUP(RANDBETWEEN(1,12),Tabla4[],2,FALSE)</f>
        <v>365285</v>
      </c>
      <c r="G298" s="15">
        <f ca="1">Tabladatos[[#This Row],[Ingresos]]*VLOOKUP(RANDBETWEEN(1,10),Tabla5[],2,FALSE)</f>
        <v>182642.5</v>
      </c>
      <c r="H298" s="15">
        <f ca="1">Tabladatos[[#This Row],[Ingresos]]-Tabladatos[[#This Row],[Costos]]</f>
        <v>182642.5</v>
      </c>
    </row>
    <row r="299" spans="1:8" ht="22.5" customHeight="1" x14ac:dyDescent="0.25">
      <c r="A299" t="s">
        <v>13</v>
      </c>
      <c r="B299" t="str">
        <f ca="1">VLOOKUP(RANDBETWEEN(1,3),Tabla1[],2,FALSE)</f>
        <v>Central</v>
      </c>
      <c r="C299">
        <v>2020</v>
      </c>
      <c r="D299" t="str">
        <f ca="1">VLOOKUP(RANDBETWEEN(1,4),Tabla2[],2,FALSE)</f>
        <v>2do Trimestre</v>
      </c>
      <c r="E299" t="str">
        <f ca="1">VLOOKUP(RANDBETWEEN(1,8),Tabla3[],2,FALSE)</f>
        <v>Impresoras</v>
      </c>
      <c r="F299" s="15">
        <f ca="1">VLOOKUP(RANDBETWEEN(1,12),Tabla4[],2,FALSE)</f>
        <v>228990</v>
      </c>
      <c r="G299" s="15">
        <f ca="1">Tabladatos[[#This Row],[Ingresos]]*VLOOKUP(RANDBETWEEN(1,10),Tabla5[],2,FALSE)</f>
        <v>91596</v>
      </c>
      <c r="H299" s="15">
        <f ca="1">Tabladatos[[#This Row],[Ingresos]]-Tabladatos[[#This Row],[Costos]]</f>
        <v>137394</v>
      </c>
    </row>
    <row r="300" spans="1:8" ht="22.5" customHeight="1" x14ac:dyDescent="0.25">
      <c r="A300" t="s">
        <v>13</v>
      </c>
      <c r="B300" t="str">
        <f ca="1">VLOOKUP(RANDBETWEEN(1,3),Tabla1[],2,FALSE)</f>
        <v>Central</v>
      </c>
      <c r="C300">
        <v>2020</v>
      </c>
      <c r="D300" t="str">
        <f ca="1">VLOOKUP(RANDBETWEEN(1,4),Tabla2[],2,FALSE)</f>
        <v>2do Trimestre</v>
      </c>
      <c r="E300" t="str">
        <f ca="1">VLOOKUP(RANDBETWEEN(1,8),Tabla3[],2,FALSE)</f>
        <v>Memorias USB</v>
      </c>
      <c r="F300" s="15">
        <f ca="1">VLOOKUP(RANDBETWEEN(1,12),Tabla4[],2,FALSE)</f>
        <v>535990</v>
      </c>
      <c r="G300" s="15">
        <f ca="1">Tabladatos[[#This Row],[Ingresos]]*VLOOKUP(RANDBETWEEN(1,10),Tabla5[],2,FALSE)</f>
        <v>428792</v>
      </c>
      <c r="H300" s="15">
        <f ca="1">Tabladatos[[#This Row],[Ingresos]]-Tabladatos[[#This Row],[Costos]]</f>
        <v>107198</v>
      </c>
    </row>
    <row r="301" spans="1:8" ht="22.5" customHeight="1" x14ac:dyDescent="0.25">
      <c r="A301" t="s">
        <v>13</v>
      </c>
      <c r="B301" t="str">
        <f ca="1">VLOOKUP(RANDBETWEEN(1,3),Tabla1[],2,FALSE)</f>
        <v>Central</v>
      </c>
      <c r="C301">
        <v>2020</v>
      </c>
      <c r="D301" t="str">
        <f ca="1">VLOOKUP(RANDBETWEEN(1,4),Tabla2[],2,FALSE)</f>
        <v>3er Trimestre</v>
      </c>
      <c r="E301" t="str">
        <f ca="1">VLOOKUP(RANDBETWEEN(1,8),Tabla3[],2,FALSE)</f>
        <v>Laptops</v>
      </c>
      <c r="F301" s="15">
        <f ca="1">VLOOKUP(RANDBETWEEN(1,12),Tabla4[],2,FALSE)</f>
        <v>95945</v>
      </c>
      <c r="G301" s="15">
        <f ca="1">Tabladatos[[#This Row],[Ingresos]]*VLOOKUP(RANDBETWEEN(1,10),Tabla5[],2,FALSE)</f>
        <v>67161.5</v>
      </c>
      <c r="H301" s="15">
        <f ca="1">Tabladatos[[#This Row],[Ingresos]]-Tabladatos[[#This Row],[Costos]]</f>
        <v>28783.5</v>
      </c>
    </row>
    <row r="302" spans="1:8" ht="22.5" customHeight="1" x14ac:dyDescent="0.25">
      <c r="A302" t="s">
        <v>13</v>
      </c>
      <c r="B302" t="str">
        <f ca="1">VLOOKUP(RANDBETWEEN(1,3),Tabla1[],2,FALSE)</f>
        <v xml:space="preserve">Sur </v>
      </c>
      <c r="C302">
        <v>2020</v>
      </c>
      <c r="D302" t="str">
        <f ca="1">VLOOKUP(RANDBETWEEN(1,4),Tabla2[],2,FALSE)</f>
        <v>3er Trimestre</v>
      </c>
      <c r="E302" t="str">
        <f ca="1">VLOOKUP(RANDBETWEEN(1,8),Tabla3[],2,FALSE)</f>
        <v>Tarjetas Wifi</v>
      </c>
      <c r="F302" s="15">
        <f ca="1">VLOOKUP(RANDBETWEEN(1,12),Tabla4[],2,FALSE)</f>
        <v>490000</v>
      </c>
      <c r="G302" s="15">
        <f ca="1">Tabladatos[[#This Row],[Ingresos]]*VLOOKUP(RANDBETWEEN(1,10),Tabla5[],2,FALSE)</f>
        <v>73500</v>
      </c>
      <c r="H302" s="15">
        <f ca="1">Tabladatos[[#This Row],[Ingresos]]-Tabladatos[[#This Row],[Costos]]</f>
        <v>416500</v>
      </c>
    </row>
    <row r="303" spans="1:8" ht="22.5" customHeight="1" x14ac:dyDescent="0.25">
      <c r="A303" t="s">
        <v>13</v>
      </c>
      <c r="B303" t="str">
        <f ca="1">VLOOKUP(RANDBETWEEN(1,3),Tabla1[],2,FALSE)</f>
        <v>Central</v>
      </c>
      <c r="C303">
        <v>2020</v>
      </c>
      <c r="D303" t="str">
        <f ca="1">VLOOKUP(RANDBETWEEN(1,4),Tabla2[],2,FALSE)</f>
        <v>1er Trimestre</v>
      </c>
      <c r="E303" t="str">
        <f ca="1">VLOOKUP(RANDBETWEEN(1,8),Tabla3[],2,FALSE)</f>
        <v>Memorias USB</v>
      </c>
      <c r="F303" s="15">
        <f ca="1">VLOOKUP(RANDBETWEEN(1,12),Tabla4[],2,FALSE)</f>
        <v>365285</v>
      </c>
      <c r="G303" s="15">
        <f ca="1">Tabladatos[[#This Row],[Ingresos]]*VLOOKUP(RANDBETWEEN(1,10),Tabla5[],2,FALSE)</f>
        <v>36528.5</v>
      </c>
      <c r="H303" s="15">
        <f ca="1">Tabladatos[[#This Row],[Ingresos]]-Tabladatos[[#This Row],[Costos]]</f>
        <v>328756.5</v>
      </c>
    </row>
    <row r="304" spans="1:8" ht="22.5" customHeight="1" x14ac:dyDescent="0.25">
      <c r="A304" t="s">
        <v>13</v>
      </c>
      <c r="B304" t="str">
        <f ca="1">VLOOKUP(RANDBETWEEN(1,3),Tabla1[],2,FALSE)</f>
        <v>Norte</v>
      </c>
      <c r="C304">
        <v>2020</v>
      </c>
      <c r="D304" t="str">
        <f ca="1">VLOOKUP(RANDBETWEEN(1,4),Tabla2[],2,FALSE)</f>
        <v>3er Trimestre</v>
      </c>
      <c r="E304" t="str">
        <f ca="1">VLOOKUP(RANDBETWEEN(1,8),Tabla3[],2,FALSE)</f>
        <v>Tarjetas Wifi</v>
      </c>
      <c r="F304" s="15">
        <f ca="1">VLOOKUP(RANDBETWEEN(1,12),Tabla4[],2,FALSE)</f>
        <v>535990</v>
      </c>
      <c r="G304" s="15">
        <f ca="1">Tabladatos[[#This Row],[Ingresos]]*VLOOKUP(RANDBETWEEN(1,10),Tabla5[],2,FALSE)</f>
        <v>53599</v>
      </c>
      <c r="H304" s="15">
        <f ca="1">Tabladatos[[#This Row],[Ingresos]]-Tabladatos[[#This Row],[Costos]]</f>
        <v>482391</v>
      </c>
    </row>
    <row r="305" spans="1:8" ht="22.5" customHeight="1" x14ac:dyDescent="0.25">
      <c r="A305" t="s">
        <v>13</v>
      </c>
      <c r="B305" t="str">
        <f ca="1">VLOOKUP(RANDBETWEEN(1,3),Tabla1[],2,FALSE)</f>
        <v xml:space="preserve">Sur </v>
      </c>
      <c r="C305">
        <v>2020</v>
      </c>
      <c r="D305" t="str">
        <f ca="1">VLOOKUP(RANDBETWEEN(1,4),Tabla2[],2,FALSE)</f>
        <v>4to Trimestre</v>
      </c>
      <c r="E305" t="str">
        <f ca="1">VLOOKUP(RANDBETWEEN(1,8),Tabla3[],2,FALSE)</f>
        <v>Monitores</v>
      </c>
      <c r="F305" s="15">
        <f ca="1">VLOOKUP(RANDBETWEEN(1,12),Tabla4[],2,FALSE)</f>
        <v>95945</v>
      </c>
      <c r="G305" s="15">
        <f ca="1">Tabladatos[[#This Row],[Ingresos]]*VLOOKUP(RANDBETWEEN(1,10),Tabla5[],2,FALSE)</f>
        <v>19189</v>
      </c>
      <c r="H305" s="15">
        <f ca="1">Tabladatos[[#This Row],[Ingresos]]-Tabladatos[[#This Row],[Costos]]</f>
        <v>76756</v>
      </c>
    </row>
    <row r="306" spans="1:8" ht="22.5" customHeight="1" x14ac:dyDescent="0.25">
      <c r="A306" t="s">
        <v>13</v>
      </c>
      <c r="B306" t="str">
        <f ca="1">VLOOKUP(RANDBETWEEN(1,3),Tabla1[],2,FALSE)</f>
        <v xml:space="preserve">Sur </v>
      </c>
      <c r="C306">
        <v>2020</v>
      </c>
      <c r="D306" t="str">
        <f ca="1">VLOOKUP(RANDBETWEEN(1,4),Tabla2[],2,FALSE)</f>
        <v>4to Trimestre</v>
      </c>
      <c r="E306" t="str">
        <f ca="1">VLOOKUP(RANDBETWEEN(1,8),Tabla3[],2,FALSE)</f>
        <v>Monitores</v>
      </c>
      <c r="F306" s="15">
        <f ca="1">VLOOKUP(RANDBETWEEN(1,12),Tabla4[],2,FALSE)</f>
        <v>120460</v>
      </c>
      <c r="G306" s="15">
        <f ca="1">Tabladatos[[#This Row],[Ingresos]]*VLOOKUP(RANDBETWEEN(1,10),Tabla5[],2,FALSE)</f>
        <v>18069</v>
      </c>
      <c r="H306" s="15">
        <f ca="1">Tabladatos[[#This Row],[Ingresos]]-Tabladatos[[#This Row],[Costos]]</f>
        <v>102391</v>
      </c>
    </row>
    <row r="307" spans="1:8" ht="22.5" customHeight="1" x14ac:dyDescent="0.25">
      <c r="A307" t="s">
        <v>13</v>
      </c>
      <c r="B307" t="str">
        <f ca="1">VLOOKUP(RANDBETWEEN(1,3),Tabla1[],2,FALSE)</f>
        <v>Norte</v>
      </c>
      <c r="C307">
        <v>2020</v>
      </c>
      <c r="D307" t="str">
        <f ca="1">VLOOKUP(RANDBETWEEN(1,4),Tabla2[],2,FALSE)</f>
        <v>3er Trimestre</v>
      </c>
      <c r="E307" t="str">
        <f ca="1">VLOOKUP(RANDBETWEEN(1,8),Tabla3[],2,FALSE)</f>
        <v>Laptops</v>
      </c>
      <c r="F307" s="15">
        <f ca="1">VLOOKUP(RANDBETWEEN(1,12),Tabla4[],2,FALSE)</f>
        <v>170000</v>
      </c>
      <c r="G307" s="15">
        <f ca="1">Tabladatos[[#This Row],[Ingresos]]*VLOOKUP(RANDBETWEEN(1,10),Tabla5[],2,FALSE)</f>
        <v>118999.99999999999</v>
      </c>
      <c r="H307" s="15">
        <f ca="1">Tabladatos[[#This Row],[Ingresos]]-Tabladatos[[#This Row],[Costos]]</f>
        <v>51000.000000000015</v>
      </c>
    </row>
    <row r="308" spans="1:8" ht="22.5" customHeight="1" x14ac:dyDescent="0.25">
      <c r="A308" t="s">
        <v>13</v>
      </c>
      <c r="B308" t="str">
        <f ca="1">VLOOKUP(RANDBETWEEN(1,3),Tabla1[],2,FALSE)</f>
        <v xml:space="preserve">Sur </v>
      </c>
      <c r="C308">
        <v>2020</v>
      </c>
      <c r="D308" t="str">
        <f ca="1">VLOOKUP(RANDBETWEEN(1,4),Tabla2[],2,FALSE)</f>
        <v>4to Trimestre</v>
      </c>
      <c r="E308" t="str">
        <f ca="1">VLOOKUP(RANDBETWEEN(1,8),Tabla3[],2,FALSE)</f>
        <v>Computadoras</v>
      </c>
      <c r="F308" s="15">
        <f ca="1">VLOOKUP(RANDBETWEEN(1,12),Tabla4[],2,FALSE)</f>
        <v>535990</v>
      </c>
      <c r="G308" s="15">
        <f ca="1">Tabladatos[[#This Row],[Ingresos]]*VLOOKUP(RANDBETWEEN(1,10),Tabla5[],2,FALSE)</f>
        <v>53599</v>
      </c>
      <c r="H308" s="15">
        <f ca="1">Tabladatos[[#This Row],[Ingresos]]-Tabladatos[[#This Row],[Costos]]</f>
        <v>482391</v>
      </c>
    </row>
    <row r="309" spans="1:8" ht="22.5" customHeight="1" x14ac:dyDescent="0.25">
      <c r="A309" t="s">
        <v>13</v>
      </c>
      <c r="B309" t="str">
        <f ca="1">VLOOKUP(RANDBETWEEN(1,3),Tabla1[],2,FALSE)</f>
        <v xml:space="preserve">Sur </v>
      </c>
      <c r="C309">
        <v>2020</v>
      </c>
      <c r="D309" t="str">
        <f ca="1">VLOOKUP(RANDBETWEEN(1,4),Tabla2[],2,FALSE)</f>
        <v>4to Trimestre</v>
      </c>
      <c r="E309" t="str">
        <f ca="1">VLOOKUP(RANDBETWEEN(1,8),Tabla3[],2,FALSE)</f>
        <v>Computadoras</v>
      </c>
      <c r="F309" s="15">
        <f ca="1">VLOOKUP(RANDBETWEEN(1,12),Tabla4[],2,FALSE)</f>
        <v>95945</v>
      </c>
      <c r="G309" s="15">
        <f ca="1">Tabladatos[[#This Row],[Ingresos]]*VLOOKUP(RANDBETWEEN(1,10),Tabla5[],2,FALSE)</f>
        <v>23986.25</v>
      </c>
      <c r="H309" s="15">
        <f ca="1">Tabladatos[[#This Row],[Ingresos]]-Tabladatos[[#This Row],[Costos]]</f>
        <v>71958.75</v>
      </c>
    </row>
    <row r="310" spans="1:8" ht="22.5" customHeight="1" x14ac:dyDescent="0.25">
      <c r="A310" t="s">
        <v>13</v>
      </c>
      <c r="B310" t="str">
        <f ca="1">VLOOKUP(RANDBETWEEN(1,3),Tabla1[],2,FALSE)</f>
        <v>Norte</v>
      </c>
      <c r="C310">
        <v>2020</v>
      </c>
      <c r="D310" t="str">
        <f ca="1">VLOOKUP(RANDBETWEEN(1,4),Tabla2[],2,FALSE)</f>
        <v>2do Trimestre</v>
      </c>
      <c r="E310" t="str">
        <f ca="1">VLOOKUP(RANDBETWEEN(1,8),Tabla3[],2,FALSE)</f>
        <v>Computadoras</v>
      </c>
      <c r="F310" s="15">
        <f ca="1">VLOOKUP(RANDBETWEEN(1,12),Tabla4[],2,FALSE)</f>
        <v>415765</v>
      </c>
      <c r="G310" s="15">
        <f ca="1">Tabladatos[[#This Row],[Ingresos]]*VLOOKUP(RANDBETWEEN(1,10),Tabla5[],2,FALSE)</f>
        <v>207882.5</v>
      </c>
      <c r="H310" s="15">
        <f ca="1">Tabladatos[[#This Row],[Ingresos]]-Tabladatos[[#This Row],[Costos]]</f>
        <v>207882.5</v>
      </c>
    </row>
    <row r="311" spans="1:8" ht="22.5" customHeight="1" x14ac:dyDescent="0.25">
      <c r="A311" t="s">
        <v>13</v>
      </c>
      <c r="B311" t="str">
        <f ca="1">VLOOKUP(RANDBETWEEN(1,3),Tabla1[],2,FALSE)</f>
        <v>Norte</v>
      </c>
      <c r="C311">
        <v>2020</v>
      </c>
      <c r="D311" t="str">
        <f ca="1">VLOOKUP(RANDBETWEEN(1,4),Tabla2[],2,FALSE)</f>
        <v>2do Trimestre</v>
      </c>
      <c r="E311" t="str">
        <f ca="1">VLOOKUP(RANDBETWEEN(1,8),Tabla3[],2,FALSE)</f>
        <v>Tarjetas Wifi</v>
      </c>
      <c r="F311" s="15">
        <f ca="1">VLOOKUP(RANDBETWEEN(1,12),Tabla4[],2,FALSE)</f>
        <v>599800</v>
      </c>
      <c r="G311" s="15">
        <f ca="1">Tabladatos[[#This Row],[Ingresos]]*VLOOKUP(RANDBETWEEN(1,10),Tabla5[],2,FALSE)</f>
        <v>359880</v>
      </c>
      <c r="H311" s="15">
        <f ca="1">Tabladatos[[#This Row],[Ingresos]]-Tabladatos[[#This Row],[Costos]]</f>
        <v>239920</v>
      </c>
    </row>
    <row r="312" spans="1:8" ht="22.5" customHeight="1" x14ac:dyDescent="0.25">
      <c r="A312" t="s">
        <v>13</v>
      </c>
      <c r="B312" t="str">
        <f ca="1">VLOOKUP(RANDBETWEEN(1,3),Tabla1[],2,FALSE)</f>
        <v>Norte</v>
      </c>
      <c r="C312">
        <v>2020</v>
      </c>
      <c r="D312" t="str">
        <f ca="1">VLOOKUP(RANDBETWEEN(1,4),Tabla2[],2,FALSE)</f>
        <v>2do Trimestre</v>
      </c>
      <c r="E312" t="str">
        <f ca="1">VLOOKUP(RANDBETWEEN(1,8),Tabla3[],2,FALSE)</f>
        <v>Tarjetas Wifi</v>
      </c>
      <c r="F312" s="15">
        <f ca="1">VLOOKUP(RANDBETWEEN(1,12),Tabla4[],2,FALSE)</f>
        <v>300000</v>
      </c>
      <c r="G312" s="15">
        <f ca="1">Tabladatos[[#This Row],[Ingresos]]*VLOOKUP(RANDBETWEEN(1,10),Tabla5[],2,FALSE)</f>
        <v>120000</v>
      </c>
      <c r="H312" s="15">
        <f ca="1">Tabladatos[[#This Row],[Ingresos]]-Tabladatos[[#This Row],[Costos]]</f>
        <v>180000</v>
      </c>
    </row>
    <row r="313" spans="1:8" ht="22.5" customHeight="1" x14ac:dyDescent="0.25">
      <c r="A313" t="s">
        <v>13</v>
      </c>
      <c r="B313" t="str">
        <f ca="1">VLOOKUP(RANDBETWEEN(1,3),Tabla1[],2,FALSE)</f>
        <v>Central</v>
      </c>
      <c r="C313">
        <v>2020</v>
      </c>
      <c r="D313" t="str">
        <f ca="1">VLOOKUP(RANDBETWEEN(1,4),Tabla2[],2,FALSE)</f>
        <v>4to Trimestre</v>
      </c>
      <c r="E313" t="str">
        <f ca="1">VLOOKUP(RANDBETWEEN(1,8),Tabla3[],2,FALSE)</f>
        <v>Computadoras</v>
      </c>
      <c r="F313" s="15">
        <f ca="1">VLOOKUP(RANDBETWEEN(1,12),Tabla4[],2,FALSE)</f>
        <v>490000</v>
      </c>
      <c r="G313" s="15">
        <f ca="1">Tabladatos[[#This Row],[Ingresos]]*VLOOKUP(RANDBETWEEN(1,10),Tabla5[],2,FALSE)</f>
        <v>392000</v>
      </c>
      <c r="H313" s="15">
        <f ca="1">Tabladatos[[#This Row],[Ingresos]]-Tabladatos[[#This Row],[Costos]]</f>
        <v>98000</v>
      </c>
    </row>
    <row r="314" spans="1:8" ht="22.5" customHeight="1" x14ac:dyDescent="0.25">
      <c r="A314" t="s">
        <v>13</v>
      </c>
      <c r="B314" t="str">
        <f ca="1">VLOOKUP(RANDBETWEEN(1,3),Tabla1[],2,FALSE)</f>
        <v>Norte</v>
      </c>
      <c r="C314">
        <v>2020</v>
      </c>
      <c r="D314" t="str">
        <f ca="1">VLOOKUP(RANDBETWEEN(1,4),Tabla2[],2,FALSE)</f>
        <v>3er Trimestre</v>
      </c>
      <c r="E314" t="str">
        <f ca="1">VLOOKUP(RANDBETWEEN(1,8),Tabla3[],2,FALSE)</f>
        <v>Memorias USB</v>
      </c>
      <c r="F314" s="15">
        <f ca="1">VLOOKUP(RANDBETWEEN(1,12),Tabla4[],2,FALSE)</f>
        <v>228990</v>
      </c>
      <c r="G314" s="15">
        <f ca="1">Tabladatos[[#This Row],[Ingresos]]*VLOOKUP(RANDBETWEEN(1,10),Tabla5[],2,FALSE)</f>
        <v>34348.5</v>
      </c>
      <c r="H314" s="15">
        <f ca="1">Tabladatos[[#This Row],[Ingresos]]-Tabladatos[[#This Row],[Costos]]</f>
        <v>194641.5</v>
      </c>
    </row>
    <row r="315" spans="1:8" ht="22.5" customHeight="1" x14ac:dyDescent="0.25">
      <c r="A315" t="s">
        <v>14</v>
      </c>
      <c r="B315" t="str">
        <f ca="1">VLOOKUP(RANDBETWEEN(1,3),Tabla1[],2,FALSE)</f>
        <v>Norte</v>
      </c>
      <c r="C315">
        <v>2020</v>
      </c>
      <c r="D315" t="str">
        <f ca="1">VLOOKUP(RANDBETWEEN(1,4),Tabla2[],2,FALSE)</f>
        <v>3er Trimestre</v>
      </c>
      <c r="E315" t="str">
        <f ca="1">VLOOKUP(RANDBETWEEN(1,8),Tabla3[],2,FALSE)</f>
        <v>Escáners</v>
      </c>
      <c r="F315" s="15">
        <f ca="1">VLOOKUP(RANDBETWEEN(1,12),Tabla4[],2,FALSE)</f>
        <v>300000</v>
      </c>
      <c r="G315" s="15">
        <f ca="1">Tabladatos[[#This Row],[Ingresos]]*VLOOKUP(RANDBETWEEN(1,10),Tabla5[],2,FALSE)</f>
        <v>180000</v>
      </c>
      <c r="H315" s="15">
        <f ca="1">Tabladatos[[#This Row],[Ingresos]]-Tabladatos[[#This Row],[Costos]]</f>
        <v>120000</v>
      </c>
    </row>
    <row r="316" spans="1:8" ht="22.5" customHeight="1" x14ac:dyDescent="0.25">
      <c r="A316" t="s">
        <v>14</v>
      </c>
      <c r="B316" t="str">
        <f ca="1">VLOOKUP(RANDBETWEEN(1,3),Tabla1[],2,FALSE)</f>
        <v xml:space="preserve">Sur </v>
      </c>
      <c r="C316">
        <v>2020</v>
      </c>
      <c r="D316" t="str">
        <f ca="1">VLOOKUP(RANDBETWEEN(1,4),Tabla2[],2,FALSE)</f>
        <v>2do Trimestre</v>
      </c>
      <c r="E316" t="str">
        <f ca="1">VLOOKUP(RANDBETWEEN(1,8),Tabla3[],2,FALSE)</f>
        <v>SSD</v>
      </c>
      <c r="F316" s="15">
        <f ca="1">VLOOKUP(RANDBETWEEN(1,12),Tabla4[],2,FALSE)</f>
        <v>120460</v>
      </c>
      <c r="G316" s="15">
        <f ca="1">Tabladatos[[#This Row],[Ingresos]]*VLOOKUP(RANDBETWEEN(1,10),Tabla5[],2,FALSE)</f>
        <v>60230</v>
      </c>
      <c r="H316" s="15">
        <f ca="1">Tabladatos[[#This Row],[Ingresos]]-Tabladatos[[#This Row],[Costos]]</f>
        <v>60230</v>
      </c>
    </row>
    <row r="317" spans="1:8" ht="22.5" customHeight="1" x14ac:dyDescent="0.25">
      <c r="A317" t="s">
        <v>14</v>
      </c>
      <c r="B317" t="str">
        <f ca="1">VLOOKUP(RANDBETWEEN(1,3),Tabla1[],2,FALSE)</f>
        <v>Norte</v>
      </c>
      <c r="C317">
        <v>2020</v>
      </c>
      <c r="D317" t="str">
        <f ca="1">VLOOKUP(RANDBETWEEN(1,4),Tabla2[],2,FALSE)</f>
        <v>3er Trimestre</v>
      </c>
      <c r="E317" t="str">
        <f ca="1">VLOOKUP(RANDBETWEEN(1,8),Tabla3[],2,FALSE)</f>
        <v>Monitores</v>
      </c>
      <c r="F317" s="15">
        <f ca="1">VLOOKUP(RANDBETWEEN(1,12),Tabla4[],2,FALSE)</f>
        <v>170000</v>
      </c>
      <c r="G317" s="15">
        <f ca="1">Tabladatos[[#This Row],[Ingresos]]*VLOOKUP(RANDBETWEEN(1,10),Tabla5[],2,FALSE)</f>
        <v>42500</v>
      </c>
      <c r="H317" s="15">
        <f ca="1">Tabladatos[[#This Row],[Ingresos]]-Tabladatos[[#This Row],[Costos]]</f>
        <v>127500</v>
      </c>
    </row>
    <row r="318" spans="1:8" ht="22.5" customHeight="1" x14ac:dyDescent="0.25">
      <c r="A318" t="s">
        <v>14</v>
      </c>
      <c r="B318" t="str">
        <f ca="1">VLOOKUP(RANDBETWEEN(1,3),Tabla1[],2,FALSE)</f>
        <v>Norte</v>
      </c>
      <c r="C318">
        <v>2020</v>
      </c>
      <c r="D318" t="str">
        <f ca="1">VLOOKUP(RANDBETWEEN(1,4),Tabla2[],2,FALSE)</f>
        <v>2do Trimestre</v>
      </c>
      <c r="E318" t="str">
        <f ca="1">VLOOKUP(RANDBETWEEN(1,8),Tabla3[],2,FALSE)</f>
        <v>Escáners</v>
      </c>
      <c r="F318" s="15">
        <f ca="1">VLOOKUP(RANDBETWEEN(1,12),Tabla4[],2,FALSE)</f>
        <v>228990</v>
      </c>
      <c r="G318" s="15">
        <f ca="1">Tabladatos[[#This Row],[Ingresos]]*VLOOKUP(RANDBETWEEN(1,10),Tabla5[],2,FALSE)</f>
        <v>34348.5</v>
      </c>
      <c r="H318" s="15">
        <f ca="1">Tabladatos[[#This Row],[Ingresos]]-Tabladatos[[#This Row],[Costos]]</f>
        <v>194641.5</v>
      </c>
    </row>
    <row r="319" spans="1:8" ht="22.5" customHeight="1" x14ac:dyDescent="0.25">
      <c r="A319" t="s">
        <v>14</v>
      </c>
      <c r="B319" t="str">
        <f ca="1">VLOOKUP(RANDBETWEEN(1,3),Tabla1[],2,FALSE)</f>
        <v>Central</v>
      </c>
      <c r="C319">
        <v>2020</v>
      </c>
      <c r="D319" t="str">
        <f ca="1">VLOOKUP(RANDBETWEEN(1,4),Tabla2[],2,FALSE)</f>
        <v>3er Trimestre</v>
      </c>
      <c r="E319" t="str">
        <f ca="1">VLOOKUP(RANDBETWEEN(1,8),Tabla3[],2,FALSE)</f>
        <v>Memorias USB</v>
      </c>
      <c r="F319" s="15">
        <f ca="1">VLOOKUP(RANDBETWEEN(1,12),Tabla4[],2,FALSE)</f>
        <v>66150</v>
      </c>
      <c r="G319" s="15">
        <f ca="1">Tabladatos[[#This Row],[Ingresos]]*VLOOKUP(RANDBETWEEN(1,10),Tabla5[],2,FALSE)</f>
        <v>6615</v>
      </c>
      <c r="H319" s="15">
        <f ca="1">Tabladatos[[#This Row],[Ingresos]]-Tabladatos[[#This Row],[Costos]]</f>
        <v>59535</v>
      </c>
    </row>
    <row r="320" spans="1:8" ht="22.5" customHeight="1" x14ac:dyDescent="0.25">
      <c r="A320" t="s">
        <v>14</v>
      </c>
      <c r="B320" t="str">
        <f ca="1">VLOOKUP(RANDBETWEEN(1,3),Tabla1[],2,FALSE)</f>
        <v>Central</v>
      </c>
      <c r="C320">
        <v>2020</v>
      </c>
      <c r="D320" t="str">
        <f ca="1">VLOOKUP(RANDBETWEEN(1,4),Tabla2[],2,FALSE)</f>
        <v>4to Trimestre</v>
      </c>
      <c r="E320" t="str">
        <f ca="1">VLOOKUP(RANDBETWEEN(1,8),Tabla3[],2,FALSE)</f>
        <v>Escáners</v>
      </c>
      <c r="F320" s="15">
        <f ca="1">VLOOKUP(RANDBETWEEN(1,12),Tabla4[],2,FALSE)</f>
        <v>599800</v>
      </c>
      <c r="G320" s="15">
        <f ca="1">Tabladatos[[#This Row],[Ingresos]]*VLOOKUP(RANDBETWEEN(1,10),Tabla5[],2,FALSE)</f>
        <v>359880</v>
      </c>
      <c r="H320" s="15">
        <f ca="1">Tabladatos[[#This Row],[Ingresos]]-Tabladatos[[#This Row],[Costos]]</f>
        <v>239920</v>
      </c>
    </row>
    <row r="321" spans="1:8" ht="22.5" customHeight="1" x14ac:dyDescent="0.25">
      <c r="A321" t="s">
        <v>14</v>
      </c>
      <c r="B321" t="str">
        <f ca="1">VLOOKUP(RANDBETWEEN(1,3),Tabla1[],2,FALSE)</f>
        <v xml:space="preserve">Sur </v>
      </c>
      <c r="C321">
        <v>2020</v>
      </c>
      <c r="D321" t="str">
        <f ca="1">VLOOKUP(RANDBETWEEN(1,4),Tabla2[],2,FALSE)</f>
        <v>1er Trimestre</v>
      </c>
      <c r="E321" t="str">
        <f ca="1">VLOOKUP(RANDBETWEEN(1,8),Tabla3[],2,FALSE)</f>
        <v>Escáners</v>
      </c>
      <c r="F321" s="15">
        <f ca="1">VLOOKUP(RANDBETWEEN(1,12),Tabla4[],2,FALSE)</f>
        <v>599800</v>
      </c>
      <c r="G321" s="15">
        <f ca="1">Tabladatos[[#This Row],[Ingresos]]*VLOOKUP(RANDBETWEEN(1,10),Tabla5[],2,FALSE)</f>
        <v>299900</v>
      </c>
      <c r="H321" s="15">
        <f ca="1">Tabladatos[[#This Row],[Ingresos]]-Tabladatos[[#This Row],[Costos]]</f>
        <v>299900</v>
      </c>
    </row>
    <row r="322" spans="1:8" ht="22.5" customHeight="1" x14ac:dyDescent="0.25">
      <c r="A322" t="s">
        <v>14</v>
      </c>
      <c r="B322" t="str">
        <f ca="1">VLOOKUP(RANDBETWEEN(1,3),Tabla1[],2,FALSE)</f>
        <v xml:space="preserve">Sur </v>
      </c>
      <c r="C322">
        <v>2020</v>
      </c>
      <c r="D322" t="str">
        <f ca="1">VLOOKUP(RANDBETWEEN(1,4),Tabla2[],2,FALSE)</f>
        <v>2do Trimestre</v>
      </c>
      <c r="E322" t="str">
        <f ca="1">VLOOKUP(RANDBETWEEN(1,8),Tabla3[],2,FALSE)</f>
        <v>Laptops</v>
      </c>
      <c r="F322" s="15">
        <f ca="1">VLOOKUP(RANDBETWEEN(1,12),Tabla4[],2,FALSE)</f>
        <v>415765</v>
      </c>
      <c r="G322" s="15">
        <f ca="1">Tabladatos[[#This Row],[Ingresos]]*VLOOKUP(RANDBETWEEN(1,10),Tabla5[],2,FALSE)</f>
        <v>332612</v>
      </c>
      <c r="H322" s="15">
        <f ca="1">Tabladatos[[#This Row],[Ingresos]]-Tabladatos[[#This Row],[Costos]]</f>
        <v>83153</v>
      </c>
    </row>
    <row r="323" spans="1:8" ht="22.5" customHeight="1" x14ac:dyDescent="0.25">
      <c r="A323" t="s">
        <v>14</v>
      </c>
      <c r="B323" t="str">
        <f ca="1">VLOOKUP(RANDBETWEEN(1,3),Tabla1[],2,FALSE)</f>
        <v>Central</v>
      </c>
      <c r="C323">
        <v>2020</v>
      </c>
      <c r="D323" t="str">
        <f ca="1">VLOOKUP(RANDBETWEEN(1,4),Tabla2[],2,FALSE)</f>
        <v>3er Trimestre</v>
      </c>
      <c r="E323" t="str">
        <f ca="1">VLOOKUP(RANDBETWEEN(1,8),Tabla3[],2,FALSE)</f>
        <v>Laptops</v>
      </c>
      <c r="F323" s="15">
        <f ca="1">VLOOKUP(RANDBETWEEN(1,12),Tabla4[],2,FALSE)</f>
        <v>228990</v>
      </c>
      <c r="G323" s="15">
        <f ca="1">Tabladatos[[#This Row],[Ingresos]]*VLOOKUP(RANDBETWEEN(1,10),Tabla5[],2,FALSE)</f>
        <v>114495</v>
      </c>
      <c r="H323" s="15">
        <f ca="1">Tabladatos[[#This Row],[Ingresos]]-Tabladatos[[#This Row],[Costos]]</f>
        <v>114495</v>
      </c>
    </row>
    <row r="324" spans="1:8" ht="22.5" customHeight="1" x14ac:dyDescent="0.25">
      <c r="A324" t="s">
        <v>14</v>
      </c>
      <c r="B324" t="str">
        <f ca="1">VLOOKUP(RANDBETWEEN(1,3),Tabla1[],2,FALSE)</f>
        <v>Norte</v>
      </c>
      <c r="C324">
        <v>2020</v>
      </c>
      <c r="D324" t="str">
        <f ca="1">VLOOKUP(RANDBETWEEN(1,4),Tabla2[],2,FALSE)</f>
        <v>3er Trimestre</v>
      </c>
      <c r="E324" t="str">
        <f ca="1">VLOOKUP(RANDBETWEEN(1,8),Tabla3[],2,FALSE)</f>
        <v>Computadoras</v>
      </c>
      <c r="F324" s="15">
        <f ca="1">VLOOKUP(RANDBETWEEN(1,12),Tabla4[],2,FALSE)</f>
        <v>415765</v>
      </c>
      <c r="G324" s="15">
        <f ca="1">Tabladatos[[#This Row],[Ingresos]]*VLOOKUP(RANDBETWEEN(1,10),Tabla5[],2,FALSE)</f>
        <v>207882.5</v>
      </c>
      <c r="H324" s="15">
        <f ca="1">Tabladatos[[#This Row],[Ingresos]]-Tabladatos[[#This Row],[Costos]]</f>
        <v>207882.5</v>
      </c>
    </row>
    <row r="325" spans="1:8" ht="22.5" customHeight="1" x14ac:dyDescent="0.25">
      <c r="A325" t="s">
        <v>14</v>
      </c>
      <c r="B325" t="str">
        <f ca="1">VLOOKUP(RANDBETWEEN(1,3),Tabla1[],2,FALSE)</f>
        <v>Central</v>
      </c>
      <c r="C325">
        <v>2020</v>
      </c>
      <c r="D325" t="str">
        <f ca="1">VLOOKUP(RANDBETWEEN(1,4),Tabla2[],2,FALSE)</f>
        <v>4to Trimestre</v>
      </c>
      <c r="E325" t="str">
        <f ca="1">VLOOKUP(RANDBETWEEN(1,8),Tabla3[],2,FALSE)</f>
        <v>Memorias USB</v>
      </c>
      <c r="F325" s="15">
        <f ca="1">VLOOKUP(RANDBETWEEN(1,12),Tabla4[],2,FALSE)</f>
        <v>535990</v>
      </c>
      <c r="G325" s="15">
        <f ca="1">Tabladatos[[#This Row],[Ingresos]]*VLOOKUP(RANDBETWEEN(1,10),Tabla5[],2,FALSE)</f>
        <v>53599</v>
      </c>
      <c r="H325" s="15">
        <f ca="1">Tabladatos[[#This Row],[Ingresos]]-Tabladatos[[#This Row],[Costos]]</f>
        <v>482391</v>
      </c>
    </row>
    <row r="326" spans="1:8" ht="22.5" customHeight="1" x14ac:dyDescent="0.25">
      <c r="A326" t="s">
        <v>14</v>
      </c>
      <c r="B326" t="str">
        <f ca="1">VLOOKUP(RANDBETWEEN(1,3),Tabla1[],2,FALSE)</f>
        <v>Norte</v>
      </c>
      <c r="C326">
        <v>2020</v>
      </c>
      <c r="D326" t="str">
        <f ca="1">VLOOKUP(RANDBETWEEN(1,4),Tabla2[],2,FALSE)</f>
        <v>4to Trimestre</v>
      </c>
      <c r="E326" t="str">
        <f ca="1">VLOOKUP(RANDBETWEEN(1,8),Tabla3[],2,FALSE)</f>
        <v>Tarjetas Wifi</v>
      </c>
      <c r="F326" s="15">
        <f ca="1">VLOOKUP(RANDBETWEEN(1,12),Tabla4[],2,FALSE)</f>
        <v>170000</v>
      </c>
      <c r="G326" s="15">
        <f ca="1">Tabladatos[[#This Row],[Ingresos]]*VLOOKUP(RANDBETWEEN(1,10),Tabla5[],2,FALSE)</f>
        <v>118999.99999999999</v>
      </c>
      <c r="H326" s="15">
        <f ca="1">Tabladatos[[#This Row],[Ingresos]]-Tabladatos[[#This Row],[Costos]]</f>
        <v>51000.000000000015</v>
      </c>
    </row>
    <row r="327" spans="1:8" ht="22.5" customHeight="1" x14ac:dyDescent="0.25">
      <c r="A327" t="s">
        <v>14</v>
      </c>
      <c r="B327" t="str">
        <f ca="1">VLOOKUP(RANDBETWEEN(1,3),Tabla1[],2,FALSE)</f>
        <v>Central</v>
      </c>
      <c r="C327">
        <v>2020</v>
      </c>
      <c r="D327" t="str">
        <f ca="1">VLOOKUP(RANDBETWEEN(1,4),Tabla2[],2,FALSE)</f>
        <v>1er Trimestre</v>
      </c>
      <c r="E327" t="str">
        <f ca="1">VLOOKUP(RANDBETWEEN(1,8),Tabla3[],2,FALSE)</f>
        <v>Monitores</v>
      </c>
      <c r="F327" s="15">
        <f ca="1">VLOOKUP(RANDBETWEEN(1,12),Tabla4[],2,FALSE)</f>
        <v>490000</v>
      </c>
      <c r="G327" s="15">
        <f ca="1">Tabladatos[[#This Row],[Ingresos]]*VLOOKUP(RANDBETWEEN(1,10),Tabla5[],2,FALSE)</f>
        <v>49000</v>
      </c>
      <c r="H327" s="15">
        <f ca="1">Tabladatos[[#This Row],[Ingresos]]-Tabladatos[[#This Row],[Costos]]</f>
        <v>441000</v>
      </c>
    </row>
    <row r="328" spans="1:8" ht="22.5" customHeight="1" x14ac:dyDescent="0.25">
      <c r="A328" t="s">
        <v>14</v>
      </c>
      <c r="B328" t="str">
        <f ca="1">VLOOKUP(RANDBETWEEN(1,3),Tabla1[],2,FALSE)</f>
        <v>Central</v>
      </c>
      <c r="C328">
        <v>2020</v>
      </c>
      <c r="D328" t="str">
        <f ca="1">VLOOKUP(RANDBETWEEN(1,4),Tabla2[],2,FALSE)</f>
        <v>1er Trimestre</v>
      </c>
      <c r="E328" t="str">
        <f ca="1">VLOOKUP(RANDBETWEEN(1,8),Tabla3[],2,FALSE)</f>
        <v>Escáners</v>
      </c>
      <c r="F328" s="15">
        <f ca="1">VLOOKUP(RANDBETWEEN(1,12),Tabla4[],2,FALSE)</f>
        <v>95945</v>
      </c>
      <c r="G328" s="15">
        <f ca="1">Tabladatos[[#This Row],[Ingresos]]*VLOOKUP(RANDBETWEEN(1,10),Tabla5[],2,FALSE)</f>
        <v>76756</v>
      </c>
      <c r="H328" s="15">
        <f ca="1">Tabladatos[[#This Row],[Ingresos]]-Tabladatos[[#This Row],[Costos]]</f>
        <v>19189</v>
      </c>
    </row>
    <row r="329" spans="1:8" ht="22.5" customHeight="1" x14ac:dyDescent="0.25">
      <c r="A329" t="s">
        <v>14</v>
      </c>
      <c r="B329" t="str">
        <f ca="1">VLOOKUP(RANDBETWEEN(1,3),Tabla1[],2,FALSE)</f>
        <v xml:space="preserve">Sur </v>
      </c>
      <c r="C329">
        <v>2020</v>
      </c>
      <c r="D329" t="str">
        <f ca="1">VLOOKUP(RANDBETWEEN(1,4),Tabla2[],2,FALSE)</f>
        <v>3er Trimestre</v>
      </c>
      <c r="E329" t="str">
        <f ca="1">VLOOKUP(RANDBETWEEN(1,8),Tabla3[],2,FALSE)</f>
        <v>Memorias USB</v>
      </c>
      <c r="F329" s="15">
        <f ca="1">VLOOKUP(RANDBETWEEN(1,12),Tabla4[],2,FALSE)</f>
        <v>66150</v>
      </c>
      <c r="G329" s="15">
        <f ca="1">Tabladatos[[#This Row],[Ingresos]]*VLOOKUP(RANDBETWEEN(1,10),Tabla5[],2,FALSE)</f>
        <v>16537.5</v>
      </c>
      <c r="H329" s="15">
        <f ca="1">Tabladatos[[#This Row],[Ingresos]]-Tabladatos[[#This Row],[Costos]]</f>
        <v>49612.5</v>
      </c>
    </row>
    <row r="330" spans="1:8" ht="22.5" customHeight="1" x14ac:dyDescent="0.25">
      <c r="A330" t="s">
        <v>14</v>
      </c>
      <c r="B330" t="str">
        <f ca="1">VLOOKUP(RANDBETWEEN(1,3),Tabla1[],2,FALSE)</f>
        <v>Norte</v>
      </c>
      <c r="C330">
        <v>2020</v>
      </c>
      <c r="D330" t="str">
        <f ca="1">VLOOKUP(RANDBETWEEN(1,4),Tabla2[],2,FALSE)</f>
        <v>3er Trimestre</v>
      </c>
      <c r="E330" t="str">
        <f ca="1">VLOOKUP(RANDBETWEEN(1,8),Tabla3[],2,FALSE)</f>
        <v>Tarjetas Wifi</v>
      </c>
      <c r="F330" s="15">
        <f ca="1">VLOOKUP(RANDBETWEEN(1,12),Tabla4[],2,FALSE)</f>
        <v>300000</v>
      </c>
      <c r="G330" s="15">
        <f ca="1">Tabladatos[[#This Row],[Ingresos]]*VLOOKUP(RANDBETWEEN(1,10),Tabla5[],2,FALSE)</f>
        <v>30000</v>
      </c>
      <c r="H330" s="15">
        <f ca="1">Tabladatos[[#This Row],[Ingresos]]-Tabladatos[[#This Row],[Costos]]</f>
        <v>270000</v>
      </c>
    </row>
    <row r="331" spans="1:8" ht="22.5" customHeight="1" x14ac:dyDescent="0.25">
      <c r="A331" t="s">
        <v>14</v>
      </c>
      <c r="B331" t="str">
        <f ca="1">VLOOKUP(RANDBETWEEN(1,3),Tabla1[],2,FALSE)</f>
        <v>Norte</v>
      </c>
      <c r="C331">
        <v>2020</v>
      </c>
      <c r="D331" t="str">
        <f ca="1">VLOOKUP(RANDBETWEEN(1,4),Tabla2[],2,FALSE)</f>
        <v>1er Trimestre</v>
      </c>
      <c r="E331" t="str">
        <f ca="1">VLOOKUP(RANDBETWEEN(1,8),Tabla3[],2,FALSE)</f>
        <v>Laptops</v>
      </c>
      <c r="F331" s="15">
        <f ca="1">VLOOKUP(RANDBETWEEN(1,12),Tabla4[],2,FALSE)</f>
        <v>300000</v>
      </c>
      <c r="G331" s="15">
        <f ca="1">Tabladatos[[#This Row],[Ingresos]]*VLOOKUP(RANDBETWEEN(1,10),Tabla5[],2,FALSE)</f>
        <v>120000</v>
      </c>
      <c r="H331" s="15">
        <f ca="1">Tabladatos[[#This Row],[Ingresos]]-Tabladatos[[#This Row],[Costos]]</f>
        <v>180000</v>
      </c>
    </row>
    <row r="332" spans="1:8" ht="22.5" customHeight="1" x14ac:dyDescent="0.25">
      <c r="A332" t="s">
        <v>14</v>
      </c>
      <c r="B332" t="str">
        <f ca="1">VLOOKUP(RANDBETWEEN(1,3),Tabla1[],2,FALSE)</f>
        <v>Norte</v>
      </c>
      <c r="C332">
        <v>2020</v>
      </c>
      <c r="D332" t="str">
        <f ca="1">VLOOKUP(RANDBETWEEN(1,4),Tabla2[],2,FALSE)</f>
        <v>4to Trimestre</v>
      </c>
      <c r="E332" t="str">
        <f ca="1">VLOOKUP(RANDBETWEEN(1,8),Tabla3[],2,FALSE)</f>
        <v>Memorias USB</v>
      </c>
      <c r="F332" s="15">
        <f ca="1">VLOOKUP(RANDBETWEEN(1,12),Tabla4[],2,FALSE)</f>
        <v>95945</v>
      </c>
      <c r="G332" s="15">
        <f ca="1">Tabladatos[[#This Row],[Ingresos]]*VLOOKUP(RANDBETWEEN(1,10),Tabla5[],2,FALSE)</f>
        <v>9594.5</v>
      </c>
      <c r="H332" s="15">
        <f ca="1">Tabladatos[[#This Row],[Ingresos]]-Tabladatos[[#This Row],[Costos]]</f>
        <v>86350.5</v>
      </c>
    </row>
    <row r="333" spans="1:8" ht="22.5" customHeight="1" x14ac:dyDescent="0.25">
      <c r="A333" t="s">
        <v>14</v>
      </c>
      <c r="B333" t="str">
        <f ca="1">VLOOKUP(RANDBETWEEN(1,3),Tabla1[],2,FALSE)</f>
        <v xml:space="preserve">Sur </v>
      </c>
      <c r="C333">
        <v>2020</v>
      </c>
      <c r="D333" t="str">
        <f ca="1">VLOOKUP(RANDBETWEEN(1,4),Tabla2[],2,FALSE)</f>
        <v>4to Trimestre</v>
      </c>
      <c r="E333" t="str">
        <f ca="1">VLOOKUP(RANDBETWEEN(1,8),Tabla3[],2,FALSE)</f>
        <v>Escáners</v>
      </c>
      <c r="F333" s="15">
        <f ca="1">VLOOKUP(RANDBETWEEN(1,12),Tabla4[],2,FALSE)</f>
        <v>599800</v>
      </c>
      <c r="G333" s="15">
        <f ca="1">Tabladatos[[#This Row],[Ingresos]]*VLOOKUP(RANDBETWEEN(1,10),Tabla5[],2,FALSE)</f>
        <v>119960</v>
      </c>
      <c r="H333" s="15">
        <f ca="1">Tabladatos[[#This Row],[Ingresos]]-Tabladatos[[#This Row],[Costos]]</f>
        <v>479840</v>
      </c>
    </row>
    <row r="334" spans="1:8" ht="22.5" customHeight="1" x14ac:dyDescent="0.25">
      <c r="A334" t="s">
        <v>14</v>
      </c>
      <c r="B334" t="str">
        <f ca="1">VLOOKUP(RANDBETWEEN(1,3),Tabla1[],2,FALSE)</f>
        <v>Central</v>
      </c>
      <c r="C334">
        <v>2020</v>
      </c>
      <c r="D334" t="str">
        <f ca="1">VLOOKUP(RANDBETWEEN(1,4),Tabla2[],2,FALSE)</f>
        <v>3er Trimestre</v>
      </c>
      <c r="E334" t="str">
        <f ca="1">VLOOKUP(RANDBETWEEN(1,8),Tabla3[],2,FALSE)</f>
        <v>Computadoras</v>
      </c>
      <c r="F334" s="15">
        <f ca="1">VLOOKUP(RANDBETWEEN(1,12),Tabla4[],2,FALSE)</f>
        <v>170000</v>
      </c>
      <c r="G334" s="15">
        <f ca="1">Tabladatos[[#This Row],[Ingresos]]*VLOOKUP(RANDBETWEEN(1,10),Tabla5[],2,FALSE)</f>
        <v>118999.99999999999</v>
      </c>
      <c r="H334" s="15">
        <f ca="1">Tabladatos[[#This Row],[Ingresos]]-Tabladatos[[#This Row],[Costos]]</f>
        <v>51000.000000000015</v>
      </c>
    </row>
    <row r="335" spans="1:8" ht="22.5" customHeight="1" x14ac:dyDescent="0.25">
      <c r="A335" t="s">
        <v>14</v>
      </c>
      <c r="B335" t="str">
        <f ca="1">VLOOKUP(RANDBETWEEN(1,3),Tabla1[],2,FALSE)</f>
        <v>Norte</v>
      </c>
      <c r="C335">
        <v>2020</v>
      </c>
      <c r="D335" t="str">
        <f ca="1">VLOOKUP(RANDBETWEEN(1,4),Tabla2[],2,FALSE)</f>
        <v>2do Trimestre</v>
      </c>
      <c r="E335" t="str">
        <f ca="1">VLOOKUP(RANDBETWEEN(1,8),Tabla3[],2,FALSE)</f>
        <v>Escáners</v>
      </c>
      <c r="F335" s="15">
        <f ca="1">VLOOKUP(RANDBETWEEN(1,12),Tabla4[],2,FALSE)</f>
        <v>27300</v>
      </c>
      <c r="G335" s="15">
        <f ca="1">Tabladatos[[#This Row],[Ingresos]]*VLOOKUP(RANDBETWEEN(1,10),Tabla5[],2,FALSE)</f>
        <v>13650</v>
      </c>
      <c r="H335" s="15">
        <f ca="1">Tabladatos[[#This Row],[Ingresos]]-Tabladatos[[#This Row],[Costos]]</f>
        <v>13650</v>
      </c>
    </row>
    <row r="336" spans="1:8" ht="22.5" customHeight="1" x14ac:dyDescent="0.25">
      <c r="A336" t="s">
        <v>14</v>
      </c>
      <c r="B336" t="str">
        <f ca="1">VLOOKUP(RANDBETWEEN(1,3),Tabla1[],2,FALSE)</f>
        <v xml:space="preserve">Sur </v>
      </c>
      <c r="C336">
        <v>2020</v>
      </c>
      <c r="D336" t="str">
        <f ca="1">VLOOKUP(RANDBETWEEN(1,4),Tabla2[],2,FALSE)</f>
        <v>2do Trimestre</v>
      </c>
      <c r="E336" t="str">
        <f ca="1">VLOOKUP(RANDBETWEEN(1,8),Tabla3[],2,FALSE)</f>
        <v>Computadoras</v>
      </c>
      <c r="F336" s="15">
        <f ca="1">VLOOKUP(RANDBETWEEN(1,12),Tabla4[],2,FALSE)</f>
        <v>415765</v>
      </c>
      <c r="G336" s="15">
        <f ca="1">Tabladatos[[#This Row],[Ingresos]]*VLOOKUP(RANDBETWEEN(1,10),Tabla5[],2,FALSE)</f>
        <v>332612</v>
      </c>
      <c r="H336" s="15">
        <f ca="1">Tabladatos[[#This Row],[Ingresos]]-Tabladatos[[#This Row],[Costos]]</f>
        <v>83153</v>
      </c>
    </row>
    <row r="337" spans="1:8" ht="22.5" customHeight="1" x14ac:dyDescent="0.25">
      <c r="A337" t="s">
        <v>14</v>
      </c>
      <c r="B337" t="str">
        <f ca="1">VLOOKUP(RANDBETWEEN(1,3),Tabla1[],2,FALSE)</f>
        <v>Norte</v>
      </c>
      <c r="C337">
        <v>2020</v>
      </c>
      <c r="D337" t="str">
        <f ca="1">VLOOKUP(RANDBETWEEN(1,4),Tabla2[],2,FALSE)</f>
        <v>3er Trimestre</v>
      </c>
      <c r="E337" t="str">
        <f ca="1">VLOOKUP(RANDBETWEEN(1,8),Tabla3[],2,FALSE)</f>
        <v>Impresoras</v>
      </c>
      <c r="F337" s="15">
        <f ca="1">VLOOKUP(RANDBETWEEN(1,12),Tabla4[],2,FALSE)</f>
        <v>365285</v>
      </c>
      <c r="G337" s="15">
        <f ca="1">Tabladatos[[#This Row],[Ingresos]]*VLOOKUP(RANDBETWEEN(1,10),Tabla5[],2,FALSE)</f>
        <v>91321.25</v>
      </c>
      <c r="H337" s="15">
        <f ca="1">Tabladatos[[#This Row],[Ingresos]]-Tabladatos[[#This Row],[Costos]]</f>
        <v>273963.75</v>
      </c>
    </row>
    <row r="338" spans="1:8" ht="22.5" customHeight="1" x14ac:dyDescent="0.25">
      <c r="A338" t="s">
        <v>14</v>
      </c>
      <c r="B338" t="str">
        <f ca="1">VLOOKUP(RANDBETWEEN(1,3),Tabla1[],2,FALSE)</f>
        <v>Central</v>
      </c>
      <c r="C338">
        <v>2020</v>
      </c>
      <c r="D338" t="str">
        <f ca="1">VLOOKUP(RANDBETWEEN(1,4),Tabla2[],2,FALSE)</f>
        <v>3er Trimestre</v>
      </c>
      <c r="E338" t="str">
        <f ca="1">VLOOKUP(RANDBETWEEN(1,8),Tabla3[],2,FALSE)</f>
        <v>Monitores</v>
      </c>
      <c r="F338" s="15">
        <f ca="1">VLOOKUP(RANDBETWEEN(1,12),Tabla4[],2,FALSE)</f>
        <v>490000</v>
      </c>
      <c r="G338" s="15">
        <f ca="1">Tabladatos[[#This Row],[Ingresos]]*VLOOKUP(RANDBETWEEN(1,10),Tabla5[],2,FALSE)</f>
        <v>49000</v>
      </c>
      <c r="H338" s="15">
        <f ca="1">Tabladatos[[#This Row],[Ingresos]]-Tabladatos[[#This Row],[Costos]]</f>
        <v>441000</v>
      </c>
    </row>
    <row r="339" spans="1:8" ht="22.5" customHeight="1" x14ac:dyDescent="0.25">
      <c r="A339" t="s">
        <v>14</v>
      </c>
      <c r="B339" t="str">
        <f ca="1">VLOOKUP(RANDBETWEEN(1,3),Tabla1[],2,FALSE)</f>
        <v xml:space="preserve">Sur </v>
      </c>
      <c r="C339">
        <v>2020</v>
      </c>
      <c r="D339" t="str">
        <f ca="1">VLOOKUP(RANDBETWEEN(1,4),Tabla2[],2,FALSE)</f>
        <v>4to Trimestre</v>
      </c>
      <c r="E339" t="str">
        <f ca="1">VLOOKUP(RANDBETWEEN(1,8),Tabla3[],2,FALSE)</f>
        <v>Monitores</v>
      </c>
      <c r="F339" s="15">
        <f ca="1">VLOOKUP(RANDBETWEEN(1,12),Tabla4[],2,FALSE)</f>
        <v>170000</v>
      </c>
      <c r="G339" s="15">
        <f ca="1">Tabladatos[[#This Row],[Ingresos]]*VLOOKUP(RANDBETWEEN(1,10),Tabla5[],2,FALSE)</f>
        <v>118999.99999999999</v>
      </c>
      <c r="H339" s="15">
        <f ca="1">Tabladatos[[#This Row],[Ingresos]]-Tabladatos[[#This Row],[Costos]]</f>
        <v>51000.000000000015</v>
      </c>
    </row>
    <row r="340" spans="1:8" ht="22.5" customHeight="1" x14ac:dyDescent="0.25">
      <c r="A340" t="s">
        <v>14</v>
      </c>
      <c r="B340" t="str">
        <f ca="1">VLOOKUP(RANDBETWEEN(1,3),Tabla1[],2,FALSE)</f>
        <v xml:space="preserve">Sur </v>
      </c>
      <c r="C340">
        <v>2020</v>
      </c>
      <c r="D340" t="str">
        <f ca="1">VLOOKUP(RANDBETWEEN(1,4),Tabla2[],2,FALSE)</f>
        <v>1er Trimestre</v>
      </c>
      <c r="E340" t="str">
        <f ca="1">VLOOKUP(RANDBETWEEN(1,8),Tabla3[],2,FALSE)</f>
        <v>Escáners</v>
      </c>
      <c r="F340" s="15">
        <f ca="1">VLOOKUP(RANDBETWEEN(1,12),Tabla4[],2,FALSE)</f>
        <v>170000</v>
      </c>
      <c r="G340" s="15">
        <f ca="1">Tabladatos[[#This Row],[Ingresos]]*VLOOKUP(RANDBETWEEN(1,10),Tabla5[],2,FALSE)</f>
        <v>85000</v>
      </c>
      <c r="H340" s="15">
        <f ca="1">Tabladatos[[#This Row],[Ingresos]]-Tabladatos[[#This Row],[Costos]]</f>
        <v>85000</v>
      </c>
    </row>
    <row r="341" spans="1:8" ht="22.5" customHeight="1" x14ac:dyDescent="0.25">
      <c r="A341" t="s">
        <v>26</v>
      </c>
      <c r="B341" t="str">
        <f ca="1">VLOOKUP(RANDBETWEEN(1,3),Tabla1[],2,FALSE)</f>
        <v>Norte</v>
      </c>
      <c r="C341">
        <v>2020</v>
      </c>
      <c r="D341" t="str">
        <f ca="1">VLOOKUP(RANDBETWEEN(1,4),Tabla2[],2,FALSE)</f>
        <v>2do Trimestre</v>
      </c>
      <c r="E341" t="str">
        <f ca="1">VLOOKUP(RANDBETWEEN(1,8),Tabla3[],2,FALSE)</f>
        <v>Escáners</v>
      </c>
      <c r="F341" s="15">
        <f ca="1">VLOOKUP(RANDBETWEEN(1,12),Tabla4[],2,FALSE)</f>
        <v>120460</v>
      </c>
      <c r="G341" s="15">
        <f ca="1">Tabladatos[[#This Row],[Ingresos]]*VLOOKUP(RANDBETWEEN(1,10),Tabla5[],2,FALSE)</f>
        <v>24092</v>
      </c>
      <c r="H341" s="15">
        <f ca="1">Tabladatos[[#This Row],[Ingresos]]-Tabladatos[[#This Row],[Costos]]</f>
        <v>96368</v>
      </c>
    </row>
    <row r="342" spans="1:8" ht="22.5" customHeight="1" x14ac:dyDescent="0.25">
      <c r="A342" t="s">
        <v>26</v>
      </c>
      <c r="B342" t="str">
        <f ca="1">VLOOKUP(RANDBETWEEN(1,3),Tabla1[],2,FALSE)</f>
        <v>Central</v>
      </c>
      <c r="C342">
        <v>2020</v>
      </c>
      <c r="D342" t="str">
        <f ca="1">VLOOKUP(RANDBETWEEN(1,4),Tabla2[],2,FALSE)</f>
        <v>2do Trimestre</v>
      </c>
      <c r="E342" t="str">
        <f ca="1">VLOOKUP(RANDBETWEEN(1,8),Tabla3[],2,FALSE)</f>
        <v>Laptops</v>
      </c>
      <c r="F342" s="15">
        <f ca="1">VLOOKUP(RANDBETWEEN(1,12),Tabla4[],2,FALSE)</f>
        <v>120460</v>
      </c>
      <c r="G342" s="15">
        <f ca="1">Tabladatos[[#This Row],[Ingresos]]*VLOOKUP(RANDBETWEEN(1,10),Tabla5[],2,FALSE)</f>
        <v>96368</v>
      </c>
      <c r="H342" s="15">
        <f ca="1">Tabladatos[[#This Row],[Ingresos]]-Tabladatos[[#This Row],[Costos]]</f>
        <v>24092</v>
      </c>
    </row>
    <row r="343" spans="1:8" ht="22.5" customHeight="1" x14ac:dyDescent="0.25">
      <c r="A343" t="s">
        <v>26</v>
      </c>
      <c r="B343" t="str">
        <f ca="1">VLOOKUP(RANDBETWEEN(1,3),Tabla1[],2,FALSE)</f>
        <v>Norte</v>
      </c>
      <c r="C343">
        <v>2020</v>
      </c>
      <c r="D343" t="str">
        <f ca="1">VLOOKUP(RANDBETWEEN(1,4),Tabla2[],2,FALSE)</f>
        <v>3er Trimestre</v>
      </c>
      <c r="E343" t="str">
        <f ca="1">VLOOKUP(RANDBETWEEN(1,8),Tabla3[],2,FALSE)</f>
        <v>Laptops</v>
      </c>
      <c r="F343" s="15">
        <f ca="1">VLOOKUP(RANDBETWEEN(1,12),Tabla4[],2,FALSE)</f>
        <v>300000</v>
      </c>
      <c r="G343" s="15">
        <f ca="1">Tabladatos[[#This Row],[Ingresos]]*VLOOKUP(RANDBETWEEN(1,10),Tabla5[],2,FALSE)</f>
        <v>210000</v>
      </c>
      <c r="H343" s="15">
        <f ca="1">Tabladatos[[#This Row],[Ingresos]]-Tabladatos[[#This Row],[Costos]]</f>
        <v>90000</v>
      </c>
    </row>
    <row r="344" spans="1:8" ht="22.5" customHeight="1" x14ac:dyDescent="0.25">
      <c r="A344" t="s">
        <v>26</v>
      </c>
      <c r="B344" t="str">
        <f ca="1">VLOOKUP(RANDBETWEEN(1,3),Tabla1[],2,FALSE)</f>
        <v xml:space="preserve">Sur </v>
      </c>
      <c r="C344">
        <v>2020</v>
      </c>
      <c r="D344" t="str">
        <f ca="1">VLOOKUP(RANDBETWEEN(1,4),Tabla2[],2,FALSE)</f>
        <v>1er Trimestre</v>
      </c>
      <c r="E344" t="str">
        <f ca="1">VLOOKUP(RANDBETWEEN(1,8),Tabla3[],2,FALSE)</f>
        <v>Escáners</v>
      </c>
      <c r="F344" s="15">
        <f ca="1">VLOOKUP(RANDBETWEEN(1,12),Tabla4[],2,FALSE)</f>
        <v>490000</v>
      </c>
      <c r="G344" s="15">
        <f ca="1">Tabladatos[[#This Row],[Ingresos]]*VLOOKUP(RANDBETWEEN(1,10),Tabla5[],2,FALSE)</f>
        <v>294000</v>
      </c>
      <c r="H344" s="15">
        <f ca="1">Tabladatos[[#This Row],[Ingresos]]-Tabladatos[[#This Row],[Costos]]</f>
        <v>196000</v>
      </c>
    </row>
    <row r="345" spans="1:8" ht="22.5" customHeight="1" x14ac:dyDescent="0.25">
      <c r="A345" t="s">
        <v>26</v>
      </c>
      <c r="B345" t="str">
        <f ca="1">VLOOKUP(RANDBETWEEN(1,3),Tabla1[],2,FALSE)</f>
        <v>Central</v>
      </c>
      <c r="C345">
        <v>2020</v>
      </c>
      <c r="D345" t="str">
        <f ca="1">VLOOKUP(RANDBETWEEN(1,4),Tabla2[],2,FALSE)</f>
        <v>4to Trimestre</v>
      </c>
      <c r="E345" t="str">
        <f ca="1">VLOOKUP(RANDBETWEEN(1,8),Tabla3[],2,FALSE)</f>
        <v>Computadoras</v>
      </c>
      <c r="F345" s="15">
        <f ca="1">VLOOKUP(RANDBETWEEN(1,12),Tabla4[],2,FALSE)</f>
        <v>27300</v>
      </c>
      <c r="G345" s="15">
        <f ca="1">Tabladatos[[#This Row],[Ingresos]]*VLOOKUP(RANDBETWEEN(1,10),Tabla5[],2,FALSE)</f>
        <v>8190</v>
      </c>
      <c r="H345" s="15">
        <f ca="1">Tabladatos[[#This Row],[Ingresos]]-Tabladatos[[#This Row],[Costos]]</f>
        <v>19110</v>
      </c>
    </row>
    <row r="346" spans="1:8" ht="22.5" customHeight="1" x14ac:dyDescent="0.25">
      <c r="A346" t="s">
        <v>26</v>
      </c>
      <c r="B346" t="str">
        <f ca="1">VLOOKUP(RANDBETWEEN(1,3),Tabla1[],2,FALSE)</f>
        <v xml:space="preserve">Sur </v>
      </c>
      <c r="C346">
        <v>2020</v>
      </c>
      <c r="D346" t="str">
        <f ca="1">VLOOKUP(RANDBETWEEN(1,4),Tabla2[],2,FALSE)</f>
        <v>4to Trimestre</v>
      </c>
      <c r="E346" t="str">
        <f ca="1">VLOOKUP(RANDBETWEEN(1,8),Tabla3[],2,FALSE)</f>
        <v>Monitores</v>
      </c>
      <c r="F346" s="15">
        <f ca="1">VLOOKUP(RANDBETWEEN(1,12),Tabla4[],2,FALSE)</f>
        <v>228990</v>
      </c>
      <c r="G346" s="15">
        <f ca="1">Tabladatos[[#This Row],[Ingresos]]*VLOOKUP(RANDBETWEEN(1,10),Tabla5[],2,FALSE)</f>
        <v>34348.5</v>
      </c>
      <c r="H346" s="15">
        <f ca="1">Tabladatos[[#This Row],[Ingresos]]-Tabladatos[[#This Row],[Costos]]</f>
        <v>194641.5</v>
      </c>
    </row>
    <row r="347" spans="1:8" ht="22.5" customHeight="1" x14ac:dyDescent="0.25">
      <c r="A347" t="s">
        <v>26</v>
      </c>
      <c r="B347" t="str">
        <f ca="1">VLOOKUP(RANDBETWEEN(1,3),Tabla1[],2,FALSE)</f>
        <v>Central</v>
      </c>
      <c r="C347">
        <v>2020</v>
      </c>
      <c r="D347" t="str">
        <f ca="1">VLOOKUP(RANDBETWEEN(1,4),Tabla2[],2,FALSE)</f>
        <v>2do Trimestre</v>
      </c>
      <c r="E347" t="str">
        <f ca="1">VLOOKUP(RANDBETWEEN(1,8),Tabla3[],2,FALSE)</f>
        <v>Computadoras</v>
      </c>
      <c r="F347" s="15">
        <f ca="1">VLOOKUP(RANDBETWEEN(1,12),Tabla4[],2,FALSE)</f>
        <v>300000</v>
      </c>
      <c r="G347" s="15">
        <f ca="1">Tabladatos[[#This Row],[Ingresos]]*VLOOKUP(RANDBETWEEN(1,10),Tabla5[],2,FALSE)</f>
        <v>210000</v>
      </c>
      <c r="H347" s="15">
        <f ca="1">Tabladatos[[#This Row],[Ingresos]]-Tabladatos[[#This Row],[Costos]]</f>
        <v>90000</v>
      </c>
    </row>
    <row r="348" spans="1:8" ht="22.5" customHeight="1" x14ac:dyDescent="0.25">
      <c r="A348" t="s">
        <v>26</v>
      </c>
      <c r="B348" t="str">
        <f ca="1">VLOOKUP(RANDBETWEEN(1,3),Tabla1[],2,FALSE)</f>
        <v>Norte</v>
      </c>
      <c r="C348">
        <v>2020</v>
      </c>
      <c r="D348" t="str">
        <f ca="1">VLOOKUP(RANDBETWEEN(1,4),Tabla2[],2,FALSE)</f>
        <v>3er Trimestre</v>
      </c>
      <c r="E348" t="str">
        <f ca="1">VLOOKUP(RANDBETWEEN(1,8),Tabla3[],2,FALSE)</f>
        <v>SSD</v>
      </c>
      <c r="F348" s="15">
        <f ca="1">VLOOKUP(RANDBETWEEN(1,12),Tabla4[],2,FALSE)</f>
        <v>535990</v>
      </c>
      <c r="G348" s="15">
        <f ca="1">Tabladatos[[#This Row],[Ingresos]]*VLOOKUP(RANDBETWEEN(1,10),Tabla5[],2,FALSE)</f>
        <v>214396</v>
      </c>
      <c r="H348" s="15">
        <f ca="1">Tabladatos[[#This Row],[Ingresos]]-Tabladatos[[#This Row],[Costos]]</f>
        <v>321594</v>
      </c>
    </row>
    <row r="349" spans="1:8" ht="22.5" customHeight="1" x14ac:dyDescent="0.25">
      <c r="A349" t="s">
        <v>26</v>
      </c>
      <c r="B349" t="str">
        <f ca="1">VLOOKUP(RANDBETWEEN(1,3),Tabla1[],2,FALSE)</f>
        <v>Norte</v>
      </c>
      <c r="C349">
        <v>2020</v>
      </c>
      <c r="D349" t="str">
        <f ca="1">VLOOKUP(RANDBETWEEN(1,4),Tabla2[],2,FALSE)</f>
        <v>1er Trimestre</v>
      </c>
      <c r="E349" t="str">
        <f ca="1">VLOOKUP(RANDBETWEEN(1,8),Tabla3[],2,FALSE)</f>
        <v>Computadoras</v>
      </c>
      <c r="F349" s="15">
        <f ca="1">VLOOKUP(RANDBETWEEN(1,12),Tabla4[],2,FALSE)</f>
        <v>120460</v>
      </c>
      <c r="G349" s="15">
        <f ca="1">Tabladatos[[#This Row],[Ingresos]]*VLOOKUP(RANDBETWEEN(1,10),Tabla5[],2,FALSE)</f>
        <v>72276</v>
      </c>
      <c r="H349" s="15">
        <f ca="1">Tabladatos[[#This Row],[Ingresos]]-Tabladatos[[#This Row],[Costos]]</f>
        <v>48184</v>
      </c>
    </row>
    <row r="350" spans="1:8" ht="22.5" customHeight="1" x14ac:dyDescent="0.25">
      <c r="A350" t="s">
        <v>26</v>
      </c>
      <c r="B350" t="str">
        <f ca="1">VLOOKUP(RANDBETWEEN(1,3),Tabla1[],2,FALSE)</f>
        <v xml:space="preserve">Sur </v>
      </c>
      <c r="C350">
        <v>2020</v>
      </c>
      <c r="D350" t="str">
        <f ca="1">VLOOKUP(RANDBETWEEN(1,4),Tabla2[],2,FALSE)</f>
        <v>1er Trimestre</v>
      </c>
      <c r="E350" t="str">
        <f ca="1">VLOOKUP(RANDBETWEEN(1,8),Tabla3[],2,FALSE)</f>
        <v>Tarjetas Wifi</v>
      </c>
      <c r="F350" s="15">
        <f ca="1">VLOOKUP(RANDBETWEEN(1,12),Tabla4[],2,FALSE)</f>
        <v>365285</v>
      </c>
      <c r="G350" s="15">
        <f ca="1">Tabladatos[[#This Row],[Ingresos]]*VLOOKUP(RANDBETWEEN(1,10),Tabla5[],2,FALSE)</f>
        <v>182642.5</v>
      </c>
      <c r="H350" s="15">
        <f ca="1">Tabladatos[[#This Row],[Ingresos]]-Tabladatos[[#This Row],[Costos]]</f>
        <v>182642.5</v>
      </c>
    </row>
    <row r="351" spans="1:8" ht="22.5" customHeight="1" x14ac:dyDescent="0.25">
      <c r="A351" t="s">
        <v>26</v>
      </c>
      <c r="B351" t="str">
        <f ca="1">VLOOKUP(RANDBETWEEN(1,3),Tabla1[],2,FALSE)</f>
        <v xml:space="preserve">Sur </v>
      </c>
      <c r="C351">
        <v>2020</v>
      </c>
      <c r="D351" t="str">
        <f ca="1">VLOOKUP(RANDBETWEEN(1,4),Tabla2[],2,FALSE)</f>
        <v>1er Trimestre</v>
      </c>
      <c r="E351" t="str">
        <f ca="1">VLOOKUP(RANDBETWEEN(1,8),Tabla3[],2,FALSE)</f>
        <v>Impresoras</v>
      </c>
      <c r="F351" s="15">
        <f ca="1">VLOOKUP(RANDBETWEEN(1,12),Tabla4[],2,FALSE)</f>
        <v>120460</v>
      </c>
      <c r="G351" s="15">
        <f ca="1">Tabladatos[[#This Row],[Ingresos]]*VLOOKUP(RANDBETWEEN(1,10),Tabla5[],2,FALSE)</f>
        <v>84322</v>
      </c>
      <c r="H351" s="15">
        <f ca="1">Tabladatos[[#This Row],[Ingresos]]-Tabladatos[[#This Row],[Costos]]</f>
        <v>36138</v>
      </c>
    </row>
    <row r="352" spans="1:8" ht="22.5" customHeight="1" x14ac:dyDescent="0.25">
      <c r="A352" t="s">
        <v>26</v>
      </c>
      <c r="B352" t="str">
        <f ca="1">VLOOKUP(RANDBETWEEN(1,3),Tabla1[],2,FALSE)</f>
        <v>Norte</v>
      </c>
      <c r="C352">
        <v>2020</v>
      </c>
      <c r="D352" t="str">
        <f ca="1">VLOOKUP(RANDBETWEEN(1,4),Tabla2[],2,FALSE)</f>
        <v>3er Trimestre</v>
      </c>
      <c r="E352" t="str">
        <f ca="1">VLOOKUP(RANDBETWEEN(1,8),Tabla3[],2,FALSE)</f>
        <v>Memorias USB</v>
      </c>
      <c r="F352" s="15">
        <f ca="1">VLOOKUP(RANDBETWEEN(1,12),Tabla4[],2,FALSE)</f>
        <v>490000</v>
      </c>
      <c r="G352" s="15">
        <f ca="1">Tabladatos[[#This Row],[Ingresos]]*VLOOKUP(RANDBETWEEN(1,10),Tabla5[],2,FALSE)</f>
        <v>196000</v>
      </c>
      <c r="H352" s="15">
        <f ca="1">Tabladatos[[#This Row],[Ingresos]]-Tabladatos[[#This Row],[Costos]]</f>
        <v>294000</v>
      </c>
    </row>
    <row r="353" spans="1:8" ht="22.5" customHeight="1" x14ac:dyDescent="0.25">
      <c r="A353" t="s">
        <v>26</v>
      </c>
      <c r="B353" t="str">
        <f ca="1">VLOOKUP(RANDBETWEEN(1,3),Tabla1[],2,FALSE)</f>
        <v>Norte</v>
      </c>
      <c r="C353">
        <v>2020</v>
      </c>
      <c r="D353" t="str">
        <f ca="1">VLOOKUP(RANDBETWEEN(1,4),Tabla2[],2,FALSE)</f>
        <v>2do Trimestre</v>
      </c>
      <c r="E353" t="str">
        <f ca="1">VLOOKUP(RANDBETWEEN(1,8),Tabla3[],2,FALSE)</f>
        <v>Impresoras</v>
      </c>
      <c r="F353" s="15">
        <f ca="1">VLOOKUP(RANDBETWEEN(1,12),Tabla4[],2,FALSE)</f>
        <v>365285</v>
      </c>
      <c r="G353" s="15">
        <f ca="1">Tabladatos[[#This Row],[Ingresos]]*VLOOKUP(RANDBETWEEN(1,10),Tabla5[],2,FALSE)</f>
        <v>73057</v>
      </c>
      <c r="H353" s="15">
        <f ca="1">Tabladatos[[#This Row],[Ingresos]]-Tabladatos[[#This Row],[Costos]]</f>
        <v>292228</v>
      </c>
    </row>
    <row r="354" spans="1:8" ht="22.5" customHeight="1" x14ac:dyDescent="0.25">
      <c r="A354" t="s">
        <v>26</v>
      </c>
      <c r="B354" t="str">
        <f ca="1">VLOOKUP(RANDBETWEEN(1,3),Tabla1[],2,FALSE)</f>
        <v>Norte</v>
      </c>
      <c r="C354">
        <v>2020</v>
      </c>
      <c r="D354" t="str">
        <f ca="1">VLOOKUP(RANDBETWEEN(1,4),Tabla2[],2,FALSE)</f>
        <v>4to Trimestre</v>
      </c>
      <c r="E354" t="str">
        <f ca="1">VLOOKUP(RANDBETWEEN(1,8),Tabla3[],2,FALSE)</f>
        <v>Monitores</v>
      </c>
      <c r="F354" s="15">
        <f ca="1">VLOOKUP(RANDBETWEEN(1,12),Tabla4[],2,FALSE)</f>
        <v>490000</v>
      </c>
      <c r="G354" s="15">
        <f ca="1">Tabladatos[[#This Row],[Ingresos]]*VLOOKUP(RANDBETWEEN(1,10),Tabla5[],2,FALSE)</f>
        <v>196000</v>
      </c>
      <c r="H354" s="15">
        <f ca="1">Tabladatos[[#This Row],[Ingresos]]-Tabladatos[[#This Row],[Costos]]</f>
        <v>294000</v>
      </c>
    </row>
    <row r="355" spans="1:8" ht="22.5" customHeight="1" x14ac:dyDescent="0.25">
      <c r="A355" t="s">
        <v>26</v>
      </c>
      <c r="B355" t="str">
        <f ca="1">VLOOKUP(RANDBETWEEN(1,3),Tabla1[],2,FALSE)</f>
        <v>Central</v>
      </c>
      <c r="C355">
        <v>2020</v>
      </c>
      <c r="D355" t="str">
        <f ca="1">VLOOKUP(RANDBETWEEN(1,4),Tabla2[],2,FALSE)</f>
        <v>4to Trimestre</v>
      </c>
      <c r="E355" t="str">
        <f ca="1">VLOOKUP(RANDBETWEEN(1,8),Tabla3[],2,FALSE)</f>
        <v>Tarjetas Wifi</v>
      </c>
      <c r="F355" s="15">
        <f ca="1">VLOOKUP(RANDBETWEEN(1,12),Tabla4[],2,FALSE)</f>
        <v>228990</v>
      </c>
      <c r="G355" s="15">
        <f ca="1">Tabladatos[[#This Row],[Ingresos]]*VLOOKUP(RANDBETWEEN(1,10),Tabla5[],2,FALSE)</f>
        <v>114495</v>
      </c>
      <c r="H355" s="15">
        <f ca="1">Tabladatos[[#This Row],[Ingresos]]-Tabladatos[[#This Row],[Costos]]</f>
        <v>114495</v>
      </c>
    </row>
    <row r="356" spans="1:8" ht="22.5" customHeight="1" x14ac:dyDescent="0.25">
      <c r="A356" t="s">
        <v>15</v>
      </c>
      <c r="B356" t="str">
        <f ca="1">VLOOKUP(RANDBETWEEN(1,3),Tabla1[],2,FALSE)</f>
        <v xml:space="preserve">Sur </v>
      </c>
      <c r="C356">
        <v>2020</v>
      </c>
      <c r="D356" t="str">
        <f ca="1">VLOOKUP(RANDBETWEEN(1,4),Tabla2[],2,FALSE)</f>
        <v>3er Trimestre</v>
      </c>
      <c r="E356" t="str">
        <f ca="1">VLOOKUP(RANDBETWEEN(1,8),Tabla3[],2,FALSE)</f>
        <v>Laptops</v>
      </c>
      <c r="F356" s="15">
        <f ca="1">VLOOKUP(RANDBETWEEN(1,12),Tabla4[],2,FALSE)</f>
        <v>120460</v>
      </c>
      <c r="G356" s="15">
        <f ca="1">Tabladatos[[#This Row],[Ingresos]]*VLOOKUP(RANDBETWEEN(1,10),Tabla5[],2,FALSE)</f>
        <v>30115</v>
      </c>
      <c r="H356" s="15">
        <f ca="1">Tabladatos[[#This Row],[Ingresos]]-Tabladatos[[#This Row],[Costos]]</f>
        <v>90345</v>
      </c>
    </row>
    <row r="357" spans="1:8" ht="22.5" customHeight="1" x14ac:dyDescent="0.25">
      <c r="A357" t="s">
        <v>15</v>
      </c>
      <c r="B357" t="str">
        <f ca="1">VLOOKUP(RANDBETWEEN(1,3),Tabla1[],2,FALSE)</f>
        <v xml:space="preserve">Sur </v>
      </c>
      <c r="C357">
        <v>2020</v>
      </c>
      <c r="D357" t="str">
        <f ca="1">VLOOKUP(RANDBETWEEN(1,4),Tabla2[],2,FALSE)</f>
        <v>1er Trimestre</v>
      </c>
      <c r="E357" t="str">
        <f ca="1">VLOOKUP(RANDBETWEEN(1,8),Tabla3[],2,FALSE)</f>
        <v>Computadoras</v>
      </c>
      <c r="F357" s="15">
        <f ca="1">VLOOKUP(RANDBETWEEN(1,12),Tabla4[],2,FALSE)</f>
        <v>66150</v>
      </c>
      <c r="G357" s="15">
        <f ca="1">Tabladatos[[#This Row],[Ingresos]]*VLOOKUP(RANDBETWEEN(1,10),Tabla5[],2,FALSE)</f>
        <v>16537.5</v>
      </c>
      <c r="H357" s="15">
        <f ca="1">Tabladatos[[#This Row],[Ingresos]]-Tabladatos[[#This Row],[Costos]]</f>
        <v>49612.5</v>
      </c>
    </row>
    <row r="358" spans="1:8" ht="22.5" customHeight="1" x14ac:dyDescent="0.25">
      <c r="A358" t="s">
        <v>15</v>
      </c>
      <c r="B358" t="str">
        <f ca="1">VLOOKUP(RANDBETWEEN(1,3),Tabla1[],2,FALSE)</f>
        <v xml:space="preserve">Sur </v>
      </c>
      <c r="C358">
        <v>2020</v>
      </c>
      <c r="D358" t="str">
        <f ca="1">VLOOKUP(RANDBETWEEN(1,4),Tabla2[],2,FALSE)</f>
        <v>4to Trimestre</v>
      </c>
      <c r="E358" t="str">
        <f ca="1">VLOOKUP(RANDBETWEEN(1,8),Tabla3[],2,FALSE)</f>
        <v>Memorias USB</v>
      </c>
      <c r="F358" s="15">
        <f ca="1">VLOOKUP(RANDBETWEEN(1,12),Tabla4[],2,FALSE)</f>
        <v>535990</v>
      </c>
      <c r="G358" s="15">
        <f ca="1">Tabladatos[[#This Row],[Ingresos]]*VLOOKUP(RANDBETWEEN(1,10),Tabla5[],2,FALSE)</f>
        <v>160797</v>
      </c>
      <c r="H358" s="15">
        <f ca="1">Tabladatos[[#This Row],[Ingresos]]-Tabladatos[[#This Row],[Costos]]</f>
        <v>375193</v>
      </c>
    </row>
    <row r="359" spans="1:8" ht="22.5" customHeight="1" x14ac:dyDescent="0.25">
      <c r="A359" t="s">
        <v>15</v>
      </c>
      <c r="B359" t="str">
        <f ca="1">VLOOKUP(RANDBETWEEN(1,3),Tabla1[],2,FALSE)</f>
        <v>Central</v>
      </c>
      <c r="C359">
        <v>2020</v>
      </c>
      <c r="D359" t="str">
        <f ca="1">VLOOKUP(RANDBETWEEN(1,4),Tabla2[],2,FALSE)</f>
        <v>2do Trimestre</v>
      </c>
      <c r="E359" t="str">
        <f ca="1">VLOOKUP(RANDBETWEEN(1,8),Tabla3[],2,FALSE)</f>
        <v>Escáners</v>
      </c>
      <c r="F359" s="15">
        <f ca="1">VLOOKUP(RANDBETWEEN(1,12),Tabla4[],2,FALSE)</f>
        <v>365285</v>
      </c>
      <c r="G359" s="15">
        <f ca="1">Tabladatos[[#This Row],[Ingresos]]*VLOOKUP(RANDBETWEEN(1,10),Tabla5[],2,FALSE)</f>
        <v>36528.5</v>
      </c>
      <c r="H359" s="15">
        <f ca="1">Tabladatos[[#This Row],[Ingresos]]-Tabladatos[[#This Row],[Costos]]</f>
        <v>328756.5</v>
      </c>
    </row>
    <row r="360" spans="1:8" ht="22.5" customHeight="1" x14ac:dyDescent="0.25">
      <c r="A360" t="s">
        <v>15</v>
      </c>
      <c r="B360" t="str">
        <f ca="1">VLOOKUP(RANDBETWEEN(1,3),Tabla1[],2,FALSE)</f>
        <v>Central</v>
      </c>
      <c r="C360">
        <v>2020</v>
      </c>
      <c r="D360" t="str">
        <f ca="1">VLOOKUP(RANDBETWEEN(1,4),Tabla2[],2,FALSE)</f>
        <v>2do Trimestre</v>
      </c>
      <c r="E360" t="str">
        <f ca="1">VLOOKUP(RANDBETWEEN(1,8),Tabla3[],2,FALSE)</f>
        <v>Impresoras</v>
      </c>
      <c r="F360" s="15">
        <f ca="1">VLOOKUP(RANDBETWEEN(1,12),Tabla4[],2,FALSE)</f>
        <v>95945</v>
      </c>
      <c r="G360" s="15">
        <f ca="1">Tabladatos[[#This Row],[Ingresos]]*VLOOKUP(RANDBETWEEN(1,10),Tabla5[],2,FALSE)</f>
        <v>76756</v>
      </c>
      <c r="H360" s="15">
        <f ca="1">Tabladatos[[#This Row],[Ingresos]]-Tabladatos[[#This Row],[Costos]]</f>
        <v>19189</v>
      </c>
    </row>
    <row r="361" spans="1:8" ht="22.5" customHeight="1" x14ac:dyDescent="0.25">
      <c r="A361" t="s">
        <v>15</v>
      </c>
      <c r="B361" t="str">
        <f ca="1">VLOOKUP(RANDBETWEEN(1,3),Tabla1[],2,FALSE)</f>
        <v>Central</v>
      </c>
      <c r="C361">
        <v>2020</v>
      </c>
      <c r="D361" t="str">
        <f ca="1">VLOOKUP(RANDBETWEEN(1,4),Tabla2[],2,FALSE)</f>
        <v>3er Trimestre</v>
      </c>
      <c r="E361" t="str">
        <f ca="1">VLOOKUP(RANDBETWEEN(1,8),Tabla3[],2,FALSE)</f>
        <v>SSD</v>
      </c>
      <c r="F361" s="15">
        <f ca="1">VLOOKUP(RANDBETWEEN(1,12),Tabla4[],2,FALSE)</f>
        <v>120460</v>
      </c>
      <c r="G361" s="15">
        <f ca="1">Tabladatos[[#This Row],[Ingresos]]*VLOOKUP(RANDBETWEEN(1,10),Tabla5[],2,FALSE)</f>
        <v>48184</v>
      </c>
      <c r="H361" s="15">
        <f ca="1">Tabladatos[[#This Row],[Ingresos]]-Tabladatos[[#This Row],[Costos]]</f>
        <v>72276</v>
      </c>
    </row>
    <row r="362" spans="1:8" ht="22.5" customHeight="1" x14ac:dyDescent="0.25">
      <c r="A362" t="s">
        <v>15</v>
      </c>
      <c r="B362" t="str">
        <f ca="1">VLOOKUP(RANDBETWEEN(1,3),Tabla1[],2,FALSE)</f>
        <v xml:space="preserve">Sur </v>
      </c>
      <c r="C362">
        <v>2020</v>
      </c>
      <c r="D362" t="str">
        <f ca="1">VLOOKUP(RANDBETWEEN(1,4),Tabla2[],2,FALSE)</f>
        <v>3er Trimestre</v>
      </c>
      <c r="E362" t="str">
        <f ca="1">VLOOKUP(RANDBETWEEN(1,8),Tabla3[],2,FALSE)</f>
        <v>Escáners</v>
      </c>
      <c r="F362" s="15">
        <f ca="1">VLOOKUP(RANDBETWEEN(1,12),Tabla4[],2,FALSE)</f>
        <v>228990</v>
      </c>
      <c r="G362" s="15">
        <f ca="1">Tabladatos[[#This Row],[Ingresos]]*VLOOKUP(RANDBETWEEN(1,10),Tabla5[],2,FALSE)</f>
        <v>160293</v>
      </c>
      <c r="H362" s="15">
        <f ca="1">Tabladatos[[#This Row],[Ingresos]]-Tabladatos[[#This Row],[Costos]]</f>
        <v>68697</v>
      </c>
    </row>
    <row r="363" spans="1:8" ht="22.5" customHeight="1" x14ac:dyDescent="0.25">
      <c r="A363" t="s">
        <v>15</v>
      </c>
      <c r="B363" t="str">
        <f ca="1">VLOOKUP(RANDBETWEEN(1,3),Tabla1[],2,FALSE)</f>
        <v>Norte</v>
      </c>
      <c r="C363">
        <v>2020</v>
      </c>
      <c r="D363" t="str">
        <f ca="1">VLOOKUP(RANDBETWEEN(1,4),Tabla2[],2,FALSE)</f>
        <v>4to Trimestre</v>
      </c>
      <c r="E363" t="str">
        <f ca="1">VLOOKUP(RANDBETWEEN(1,8),Tabla3[],2,FALSE)</f>
        <v>Computadoras</v>
      </c>
      <c r="F363" s="15">
        <f ca="1">VLOOKUP(RANDBETWEEN(1,12),Tabla4[],2,FALSE)</f>
        <v>365285</v>
      </c>
      <c r="G363" s="15">
        <f ca="1">Tabladatos[[#This Row],[Ingresos]]*VLOOKUP(RANDBETWEEN(1,10),Tabla5[],2,FALSE)</f>
        <v>182642.5</v>
      </c>
      <c r="H363" s="15">
        <f ca="1">Tabladatos[[#This Row],[Ingresos]]-Tabladatos[[#This Row],[Costos]]</f>
        <v>182642.5</v>
      </c>
    </row>
    <row r="364" spans="1:8" ht="22.5" customHeight="1" x14ac:dyDescent="0.25">
      <c r="A364" t="s">
        <v>15</v>
      </c>
      <c r="B364" t="str">
        <f ca="1">VLOOKUP(RANDBETWEEN(1,3),Tabla1[],2,FALSE)</f>
        <v>Norte</v>
      </c>
      <c r="C364">
        <v>2020</v>
      </c>
      <c r="D364" t="str">
        <f ca="1">VLOOKUP(RANDBETWEEN(1,4),Tabla2[],2,FALSE)</f>
        <v>2do Trimestre</v>
      </c>
      <c r="E364" t="str">
        <f ca="1">VLOOKUP(RANDBETWEEN(1,8),Tabla3[],2,FALSE)</f>
        <v>Impresoras</v>
      </c>
      <c r="F364" s="15">
        <f ca="1">VLOOKUP(RANDBETWEEN(1,12),Tabla4[],2,FALSE)</f>
        <v>170000</v>
      </c>
      <c r="G364" s="15">
        <f ca="1">Tabladatos[[#This Row],[Ingresos]]*VLOOKUP(RANDBETWEEN(1,10),Tabla5[],2,FALSE)</f>
        <v>42500</v>
      </c>
      <c r="H364" s="15">
        <f ca="1">Tabladatos[[#This Row],[Ingresos]]-Tabladatos[[#This Row],[Costos]]</f>
        <v>127500</v>
      </c>
    </row>
    <row r="365" spans="1:8" ht="22.5" customHeight="1" x14ac:dyDescent="0.25">
      <c r="A365" t="s">
        <v>15</v>
      </c>
      <c r="B365" t="str">
        <f ca="1">VLOOKUP(RANDBETWEEN(1,3),Tabla1[],2,FALSE)</f>
        <v>Central</v>
      </c>
      <c r="C365">
        <v>2020</v>
      </c>
      <c r="D365" t="str">
        <f ca="1">VLOOKUP(RANDBETWEEN(1,4),Tabla2[],2,FALSE)</f>
        <v>3er Trimestre</v>
      </c>
      <c r="E365" t="str">
        <f ca="1">VLOOKUP(RANDBETWEEN(1,8),Tabla3[],2,FALSE)</f>
        <v>Memorias USB</v>
      </c>
      <c r="F365" s="15">
        <f ca="1">VLOOKUP(RANDBETWEEN(1,12),Tabla4[],2,FALSE)</f>
        <v>365285</v>
      </c>
      <c r="G365" s="15">
        <f ca="1">Tabladatos[[#This Row],[Ingresos]]*VLOOKUP(RANDBETWEEN(1,10),Tabla5[],2,FALSE)</f>
        <v>292228</v>
      </c>
      <c r="H365" s="15">
        <f ca="1">Tabladatos[[#This Row],[Ingresos]]-Tabladatos[[#This Row],[Costos]]</f>
        <v>73057</v>
      </c>
    </row>
    <row r="366" spans="1:8" ht="22.5" customHeight="1" x14ac:dyDescent="0.25">
      <c r="A366" t="s">
        <v>15</v>
      </c>
      <c r="B366" t="str">
        <f ca="1">VLOOKUP(RANDBETWEEN(1,3),Tabla1[],2,FALSE)</f>
        <v>Central</v>
      </c>
      <c r="C366">
        <v>2020</v>
      </c>
      <c r="D366" t="str">
        <f ca="1">VLOOKUP(RANDBETWEEN(1,4),Tabla2[],2,FALSE)</f>
        <v>1er Trimestre</v>
      </c>
      <c r="E366" t="str">
        <f ca="1">VLOOKUP(RANDBETWEEN(1,8),Tabla3[],2,FALSE)</f>
        <v>Escáners</v>
      </c>
      <c r="F366" s="15">
        <f ca="1">VLOOKUP(RANDBETWEEN(1,12),Tabla4[],2,FALSE)</f>
        <v>120460</v>
      </c>
      <c r="G366" s="15">
        <f ca="1">Tabladatos[[#This Row],[Ingresos]]*VLOOKUP(RANDBETWEEN(1,10),Tabla5[],2,FALSE)</f>
        <v>18069</v>
      </c>
      <c r="H366" s="15">
        <f ca="1">Tabladatos[[#This Row],[Ingresos]]-Tabladatos[[#This Row],[Costos]]</f>
        <v>102391</v>
      </c>
    </row>
    <row r="367" spans="1:8" ht="22.5" customHeight="1" x14ac:dyDescent="0.25">
      <c r="A367" t="s">
        <v>15</v>
      </c>
      <c r="B367" t="str">
        <f ca="1">VLOOKUP(RANDBETWEEN(1,3),Tabla1[],2,FALSE)</f>
        <v>Norte</v>
      </c>
      <c r="C367">
        <v>2020</v>
      </c>
      <c r="D367" t="str">
        <f ca="1">VLOOKUP(RANDBETWEEN(1,4),Tabla2[],2,FALSE)</f>
        <v>1er Trimestre</v>
      </c>
      <c r="E367" t="str">
        <f ca="1">VLOOKUP(RANDBETWEEN(1,8),Tabla3[],2,FALSE)</f>
        <v>Tarjetas Wifi</v>
      </c>
      <c r="F367" s="15">
        <f ca="1">VLOOKUP(RANDBETWEEN(1,12),Tabla4[],2,FALSE)</f>
        <v>599800</v>
      </c>
      <c r="G367" s="15">
        <f ca="1">Tabladatos[[#This Row],[Ingresos]]*VLOOKUP(RANDBETWEEN(1,10),Tabla5[],2,FALSE)</f>
        <v>239920</v>
      </c>
      <c r="H367" s="15">
        <f ca="1">Tabladatos[[#This Row],[Ingresos]]-Tabladatos[[#This Row],[Costos]]</f>
        <v>359880</v>
      </c>
    </row>
    <row r="368" spans="1:8" ht="22.5" customHeight="1" x14ac:dyDescent="0.25">
      <c r="A368" t="s">
        <v>15</v>
      </c>
      <c r="B368" t="str">
        <f ca="1">VLOOKUP(RANDBETWEEN(1,3),Tabla1[],2,FALSE)</f>
        <v>Norte</v>
      </c>
      <c r="C368">
        <v>2020</v>
      </c>
      <c r="D368" t="str">
        <f ca="1">VLOOKUP(RANDBETWEEN(1,4),Tabla2[],2,FALSE)</f>
        <v>1er Trimestre</v>
      </c>
      <c r="E368" t="str">
        <f ca="1">VLOOKUP(RANDBETWEEN(1,8),Tabla3[],2,FALSE)</f>
        <v>Laptops</v>
      </c>
      <c r="F368" s="15">
        <f ca="1">VLOOKUP(RANDBETWEEN(1,12),Tabla4[],2,FALSE)</f>
        <v>365285</v>
      </c>
      <c r="G368" s="15">
        <f ca="1">Tabladatos[[#This Row],[Ingresos]]*VLOOKUP(RANDBETWEEN(1,10),Tabla5[],2,FALSE)</f>
        <v>109585.5</v>
      </c>
      <c r="H368" s="15">
        <f ca="1">Tabladatos[[#This Row],[Ingresos]]-Tabladatos[[#This Row],[Costos]]</f>
        <v>255699.5</v>
      </c>
    </row>
    <row r="369" spans="1:8" ht="22.5" customHeight="1" x14ac:dyDescent="0.25">
      <c r="A369" t="s">
        <v>15</v>
      </c>
      <c r="B369" t="str">
        <f ca="1">VLOOKUP(RANDBETWEEN(1,3),Tabla1[],2,FALSE)</f>
        <v xml:space="preserve">Sur </v>
      </c>
      <c r="C369">
        <v>2020</v>
      </c>
      <c r="D369" t="str">
        <f ca="1">VLOOKUP(RANDBETWEEN(1,4),Tabla2[],2,FALSE)</f>
        <v>4to Trimestre</v>
      </c>
      <c r="E369" t="str">
        <f ca="1">VLOOKUP(RANDBETWEEN(1,8),Tabla3[],2,FALSE)</f>
        <v>Computadoras</v>
      </c>
      <c r="F369" s="15">
        <f ca="1">VLOOKUP(RANDBETWEEN(1,12),Tabla4[],2,FALSE)</f>
        <v>535990</v>
      </c>
      <c r="G369" s="15">
        <f ca="1">Tabladatos[[#This Row],[Ingresos]]*VLOOKUP(RANDBETWEEN(1,10),Tabla5[],2,FALSE)</f>
        <v>160797</v>
      </c>
      <c r="H369" s="15">
        <f ca="1">Tabladatos[[#This Row],[Ingresos]]-Tabladatos[[#This Row],[Costos]]</f>
        <v>375193</v>
      </c>
    </row>
    <row r="370" spans="1:8" ht="22.5" customHeight="1" x14ac:dyDescent="0.25">
      <c r="A370" t="s">
        <v>15</v>
      </c>
      <c r="B370" t="str">
        <f ca="1">VLOOKUP(RANDBETWEEN(1,3),Tabla1[],2,FALSE)</f>
        <v>Central</v>
      </c>
      <c r="C370">
        <v>2020</v>
      </c>
      <c r="D370" t="str">
        <f ca="1">VLOOKUP(RANDBETWEEN(1,4),Tabla2[],2,FALSE)</f>
        <v>2do Trimestre</v>
      </c>
      <c r="E370" t="str">
        <f ca="1">VLOOKUP(RANDBETWEEN(1,8),Tabla3[],2,FALSE)</f>
        <v>Tarjetas Wifi</v>
      </c>
      <c r="F370" s="15">
        <f ca="1">VLOOKUP(RANDBETWEEN(1,12),Tabla4[],2,FALSE)</f>
        <v>415765</v>
      </c>
      <c r="G370" s="15">
        <f ca="1">Tabladatos[[#This Row],[Ingresos]]*VLOOKUP(RANDBETWEEN(1,10),Tabla5[],2,FALSE)</f>
        <v>124729.5</v>
      </c>
      <c r="H370" s="15">
        <f ca="1">Tabladatos[[#This Row],[Ingresos]]-Tabladatos[[#This Row],[Costos]]</f>
        <v>291035.5</v>
      </c>
    </row>
    <row r="371" spans="1:8" ht="22.5" customHeight="1" x14ac:dyDescent="0.25">
      <c r="A371" t="s">
        <v>15</v>
      </c>
      <c r="B371" t="str">
        <f ca="1">VLOOKUP(RANDBETWEEN(1,3),Tabla1[],2,FALSE)</f>
        <v xml:space="preserve">Sur </v>
      </c>
      <c r="C371">
        <v>2020</v>
      </c>
      <c r="D371" t="str">
        <f ca="1">VLOOKUP(RANDBETWEEN(1,4),Tabla2[],2,FALSE)</f>
        <v>1er Trimestre</v>
      </c>
      <c r="E371" t="str">
        <f ca="1">VLOOKUP(RANDBETWEEN(1,8),Tabla3[],2,FALSE)</f>
        <v>Tarjetas Wifi</v>
      </c>
      <c r="F371" s="15">
        <f ca="1">VLOOKUP(RANDBETWEEN(1,12),Tabla4[],2,FALSE)</f>
        <v>415765</v>
      </c>
      <c r="G371" s="15">
        <f ca="1">Tabladatos[[#This Row],[Ingresos]]*VLOOKUP(RANDBETWEEN(1,10),Tabla5[],2,FALSE)</f>
        <v>291035.5</v>
      </c>
      <c r="H371" s="15">
        <f ca="1">Tabladatos[[#This Row],[Ingresos]]-Tabladatos[[#This Row],[Costos]]</f>
        <v>124729.5</v>
      </c>
    </row>
    <row r="372" spans="1:8" ht="22.5" customHeight="1" x14ac:dyDescent="0.25">
      <c r="A372" t="s">
        <v>15</v>
      </c>
      <c r="B372" t="str">
        <f ca="1">VLOOKUP(RANDBETWEEN(1,3),Tabla1[],2,FALSE)</f>
        <v>Central</v>
      </c>
      <c r="C372">
        <v>2020</v>
      </c>
      <c r="D372" t="str">
        <f ca="1">VLOOKUP(RANDBETWEEN(1,4),Tabla2[],2,FALSE)</f>
        <v>4to Trimestre</v>
      </c>
      <c r="E372" t="str">
        <f ca="1">VLOOKUP(RANDBETWEEN(1,8),Tabla3[],2,FALSE)</f>
        <v>Computadoras</v>
      </c>
      <c r="F372" s="15">
        <f ca="1">VLOOKUP(RANDBETWEEN(1,12),Tabla4[],2,FALSE)</f>
        <v>365285</v>
      </c>
      <c r="G372" s="15">
        <f ca="1">Tabladatos[[#This Row],[Ingresos]]*VLOOKUP(RANDBETWEEN(1,10),Tabla5[],2,FALSE)</f>
        <v>91321.25</v>
      </c>
      <c r="H372" s="15">
        <f ca="1">Tabladatos[[#This Row],[Ingresos]]-Tabladatos[[#This Row],[Costos]]</f>
        <v>273963.75</v>
      </c>
    </row>
    <row r="373" spans="1:8" ht="22.5" customHeight="1" x14ac:dyDescent="0.25">
      <c r="A373" t="s">
        <v>15</v>
      </c>
      <c r="B373" t="str">
        <f ca="1">VLOOKUP(RANDBETWEEN(1,3),Tabla1[],2,FALSE)</f>
        <v>Norte</v>
      </c>
      <c r="C373">
        <v>2020</v>
      </c>
      <c r="D373" t="str">
        <f ca="1">VLOOKUP(RANDBETWEEN(1,4),Tabla2[],2,FALSE)</f>
        <v>3er Trimestre</v>
      </c>
      <c r="E373" t="str">
        <f ca="1">VLOOKUP(RANDBETWEEN(1,8),Tabla3[],2,FALSE)</f>
        <v>Tarjetas Wifi</v>
      </c>
      <c r="F373" s="15">
        <f ca="1">VLOOKUP(RANDBETWEEN(1,12),Tabla4[],2,FALSE)</f>
        <v>415765</v>
      </c>
      <c r="G373" s="15">
        <f ca="1">Tabladatos[[#This Row],[Ingresos]]*VLOOKUP(RANDBETWEEN(1,10),Tabla5[],2,FALSE)</f>
        <v>41576.5</v>
      </c>
      <c r="H373" s="15">
        <f ca="1">Tabladatos[[#This Row],[Ingresos]]-Tabladatos[[#This Row],[Costos]]</f>
        <v>374188.5</v>
      </c>
    </row>
    <row r="374" spans="1:8" ht="22.5" customHeight="1" x14ac:dyDescent="0.25">
      <c r="A374" t="s">
        <v>15</v>
      </c>
      <c r="B374" t="str">
        <f ca="1">VLOOKUP(RANDBETWEEN(1,3),Tabla1[],2,FALSE)</f>
        <v>Central</v>
      </c>
      <c r="C374">
        <v>2020</v>
      </c>
      <c r="D374" t="str">
        <f ca="1">VLOOKUP(RANDBETWEEN(1,4),Tabla2[],2,FALSE)</f>
        <v>1er Trimestre</v>
      </c>
      <c r="E374" t="str">
        <f ca="1">VLOOKUP(RANDBETWEEN(1,8),Tabla3[],2,FALSE)</f>
        <v>Escáners</v>
      </c>
      <c r="F374" s="15">
        <f ca="1">VLOOKUP(RANDBETWEEN(1,12),Tabla4[],2,FALSE)</f>
        <v>300000</v>
      </c>
      <c r="G374" s="15">
        <f ca="1">Tabladatos[[#This Row],[Ingresos]]*VLOOKUP(RANDBETWEEN(1,10),Tabla5[],2,FALSE)</f>
        <v>60000</v>
      </c>
      <c r="H374" s="15">
        <f ca="1">Tabladatos[[#This Row],[Ingresos]]-Tabladatos[[#This Row],[Costos]]</f>
        <v>240000</v>
      </c>
    </row>
    <row r="375" spans="1:8" ht="22.5" customHeight="1" x14ac:dyDescent="0.25">
      <c r="A375" t="s">
        <v>15</v>
      </c>
      <c r="B375" t="str">
        <f ca="1">VLOOKUP(RANDBETWEEN(1,3),Tabla1[],2,FALSE)</f>
        <v>Central</v>
      </c>
      <c r="C375">
        <v>2020</v>
      </c>
      <c r="D375" t="str">
        <f ca="1">VLOOKUP(RANDBETWEEN(1,4),Tabla2[],2,FALSE)</f>
        <v>2do Trimestre</v>
      </c>
      <c r="E375" t="str">
        <f ca="1">VLOOKUP(RANDBETWEEN(1,8),Tabla3[],2,FALSE)</f>
        <v>Memorias USB</v>
      </c>
      <c r="F375" s="15">
        <f ca="1">VLOOKUP(RANDBETWEEN(1,12),Tabla4[],2,FALSE)</f>
        <v>300000</v>
      </c>
      <c r="G375" s="15">
        <f ca="1">Tabladatos[[#This Row],[Ingresos]]*VLOOKUP(RANDBETWEEN(1,10),Tabla5[],2,FALSE)</f>
        <v>45000</v>
      </c>
      <c r="H375" s="15">
        <f ca="1">Tabladatos[[#This Row],[Ingresos]]-Tabladatos[[#This Row],[Costos]]</f>
        <v>255000</v>
      </c>
    </row>
    <row r="376" spans="1:8" ht="22.5" customHeight="1" x14ac:dyDescent="0.25">
      <c r="A376" t="s">
        <v>15</v>
      </c>
      <c r="B376" t="str">
        <f ca="1">VLOOKUP(RANDBETWEEN(1,3),Tabla1[],2,FALSE)</f>
        <v>Central</v>
      </c>
      <c r="C376">
        <v>2020</v>
      </c>
      <c r="D376" t="str">
        <f ca="1">VLOOKUP(RANDBETWEEN(1,4),Tabla2[],2,FALSE)</f>
        <v>3er Trimestre</v>
      </c>
      <c r="E376" t="str">
        <f ca="1">VLOOKUP(RANDBETWEEN(1,8),Tabla3[],2,FALSE)</f>
        <v>Impresoras</v>
      </c>
      <c r="F376" s="15">
        <f ca="1">VLOOKUP(RANDBETWEEN(1,12),Tabla4[],2,FALSE)</f>
        <v>535990</v>
      </c>
      <c r="G376" s="15">
        <f ca="1">Tabladatos[[#This Row],[Ingresos]]*VLOOKUP(RANDBETWEEN(1,10),Tabla5[],2,FALSE)</f>
        <v>53599</v>
      </c>
      <c r="H376" s="15">
        <f ca="1">Tabladatos[[#This Row],[Ingresos]]-Tabladatos[[#This Row],[Costos]]</f>
        <v>482391</v>
      </c>
    </row>
    <row r="377" spans="1:8" ht="22.5" customHeight="1" x14ac:dyDescent="0.25">
      <c r="A377" t="s">
        <v>15</v>
      </c>
      <c r="B377" t="str">
        <f ca="1">VLOOKUP(RANDBETWEEN(1,3),Tabla1[],2,FALSE)</f>
        <v xml:space="preserve">Sur </v>
      </c>
      <c r="C377">
        <v>2020</v>
      </c>
      <c r="D377" t="str">
        <f ca="1">VLOOKUP(RANDBETWEEN(1,4),Tabla2[],2,FALSE)</f>
        <v>4to Trimestre</v>
      </c>
      <c r="E377" t="str">
        <f ca="1">VLOOKUP(RANDBETWEEN(1,8),Tabla3[],2,FALSE)</f>
        <v>SSD</v>
      </c>
      <c r="F377" s="15">
        <f ca="1">VLOOKUP(RANDBETWEEN(1,12),Tabla4[],2,FALSE)</f>
        <v>66150</v>
      </c>
      <c r="G377" s="15">
        <f ca="1">Tabladatos[[#This Row],[Ingresos]]*VLOOKUP(RANDBETWEEN(1,10),Tabla5[],2,FALSE)</f>
        <v>52920</v>
      </c>
      <c r="H377" s="15">
        <f ca="1">Tabladatos[[#This Row],[Ingresos]]-Tabladatos[[#This Row],[Costos]]</f>
        <v>13230</v>
      </c>
    </row>
    <row r="378" spans="1:8" ht="22.5" customHeight="1" x14ac:dyDescent="0.25">
      <c r="A378" t="s">
        <v>15</v>
      </c>
      <c r="B378" t="str">
        <f ca="1">VLOOKUP(RANDBETWEEN(1,3),Tabla1[],2,FALSE)</f>
        <v>Central</v>
      </c>
      <c r="C378">
        <v>2020</v>
      </c>
      <c r="D378" t="str">
        <f ca="1">VLOOKUP(RANDBETWEEN(1,4),Tabla2[],2,FALSE)</f>
        <v>2do Trimestre</v>
      </c>
      <c r="E378" t="str">
        <f ca="1">VLOOKUP(RANDBETWEEN(1,8),Tabla3[],2,FALSE)</f>
        <v>Laptops</v>
      </c>
      <c r="F378" s="15">
        <f ca="1">VLOOKUP(RANDBETWEEN(1,12),Tabla4[],2,FALSE)</f>
        <v>27300</v>
      </c>
      <c r="G378" s="15">
        <f ca="1">Tabladatos[[#This Row],[Ingresos]]*VLOOKUP(RANDBETWEEN(1,10),Tabla5[],2,FALSE)</f>
        <v>19110</v>
      </c>
      <c r="H378" s="15">
        <f ca="1">Tabladatos[[#This Row],[Ingresos]]-Tabladatos[[#This Row],[Costos]]</f>
        <v>8190</v>
      </c>
    </row>
    <row r="379" spans="1:8" ht="22.5" customHeight="1" x14ac:dyDescent="0.25">
      <c r="A379" t="s">
        <v>15</v>
      </c>
      <c r="B379" t="str">
        <f ca="1">VLOOKUP(RANDBETWEEN(1,3),Tabla1[],2,FALSE)</f>
        <v>Central</v>
      </c>
      <c r="C379">
        <v>2020</v>
      </c>
      <c r="D379" t="str">
        <f ca="1">VLOOKUP(RANDBETWEEN(1,4),Tabla2[],2,FALSE)</f>
        <v>4to Trimestre</v>
      </c>
      <c r="E379" t="str">
        <f ca="1">VLOOKUP(RANDBETWEEN(1,8),Tabla3[],2,FALSE)</f>
        <v>Impresoras</v>
      </c>
      <c r="F379" s="15">
        <f ca="1">VLOOKUP(RANDBETWEEN(1,12),Tabla4[],2,FALSE)</f>
        <v>66150</v>
      </c>
      <c r="G379" s="15">
        <f ca="1">Tabladatos[[#This Row],[Ingresos]]*VLOOKUP(RANDBETWEEN(1,10),Tabla5[],2,FALSE)</f>
        <v>33075</v>
      </c>
      <c r="H379" s="15">
        <f ca="1">Tabladatos[[#This Row],[Ingresos]]-Tabladatos[[#This Row],[Costos]]</f>
        <v>33075</v>
      </c>
    </row>
    <row r="380" spans="1:8" ht="22.5" customHeight="1" x14ac:dyDescent="0.25">
      <c r="A380" t="s">
        <v>16</v>
      </c>
      <c r="B380" t="str">
        <f ca="1">VLOOKUP(RANDBETWEEN(1,3),Tabla1[],2,FALSE)</f>
        <v>Norte</v>
      </c>
      <c r="C380">
        <v>2020</v>
      </c>
      <c r="D380" t="str">
        <f ca="1">VLOOKUP(RANDBETWEEN(1,4),Tabla2[],2,FALSE)</f>
        <v>1er Trimestre</v>
      </c>
      <c r="E380" t="str">
        <f ca="1">VLOOKUP(RANDBETWEEN(1,8),Tabla3[],2,FALSE)</f>
        <v>Tarjetas Wifi</v>
      </c>
      <c r="F380" s="15">
        <f ca="1">VLOOKUP(RANDBETWEEN(1,12),Tabla4[],2,FALSE)</f>
        <v>365285</v>
      </c>
      <c r="G380" s="15">
        <f ca="1">Tabladatos[[#This Row],[Ingresos]]*VLOOKUP(RANDBETWEEN(1,10),Tabla5[],2,FALSE)</f>
        <v>36528.5</v>
      </c>
      <c r="H380" s="15">
        <f ca="1">Tabladatos[[#This Row],[Ingresos]]-Tabladatos[[#This Row],[Costos]]</f>
        <v>328756.5</v>
      </c>
    </row>
    <row r="381" spans="1:8" ht="22.5" customHeight="1" x14ac:dyDescent="0.25">
      <c r="A381" t="s">
        <v>16</v>
      </c>
      <c r="B381" t="str">
        <f ca="1">VLOOKUP(RANDBETWEEN(1,3),Tabla1[],2,FALSE)</f>
        <v>Norte</v>
      </c>
      <c r="C381">
        <v>2020</v>
      </c>
      <c r="D381" t="str">
        <f ca="1">VLOOKUP(RANDBETWEEN(1,4),Tabla2[],2,FALSE)</f>
        <v>3er Trimestre</v>
      </c>
      <c r="E381" t="str">
        <f ca="1">VLOOKUP(RANDBETWEEN(1,8),Tabla3[],2,FALSE)</f>
        <v>SSD</v>
      </c>
      <c r="F381" s="15">
        <f ca="1">VLOOKUP(RANDBETWEEN(1,12),Tabla4[],2,FALSE)</f>
        <v>415765</v>
      </c>
      <c r="G381" s="15">
        <f ca="1">Tabladatos[[#This Row],[Ingresos]]*VLOOKUP(RANDBETWEEN(1,10),Tabla5[],2,FALSE)</f>
        <v>166306</v>
      </c>
      <c r="H381" s="15">
        <f ca="1">Tabladatos[[#This Row],[Ingresos]]-Tabladatos[[#This Row],[Costos]]</f>
        <v>249459</v>
      </c>
    </row>
    <row r="382" spans="1:8" ht="22.5" customHeight="1" x14ac:dyDescent="0.25">
      <c r="A382" t="s">
        <v>16</v>
      </c>
      <c r="B382" t="str">
        <f ca="1">VLOOKUP(RANDBETWEEN(1,3),Tabla1[],2,FALSE)</f>
        <v xml:space="preserve">Sur </v>
      </c>
      <c r="C382">
        <v>2020</v>
      </c>
      <c r="D382" t="str">
        <f ca="1">VLOOKUP(RANDBETWEEN(1,4),Tabla2[],2,FALSE)</f>
        <v>4to Trimestre</v>
      </c>
      <c r="E382" t="str">
        <f ca="1">VLOOKUP(RANDBETWEEN(1,8),Tabla3[],2,FALSE)</f>
        <v>SSD</v>
      </c>
      <c r="F382" s="15">
        <f ca="1">VLOOKUP(RANDBETWEEN(1,12),Tabla4[],2,FALSE)</f>
        <v>415765</v>
      </c>
      <c r="G382" s="15">
        <f ca="1">Tabladatos[[#This Row],[Ingresos]]*VLOOKUP(RANDBETWEEN(1,10),Tabla5[],2,FALSE)</f>
        <v>291035.5</v>
      </c>
      <c r="H382" s="15">
        <f ca="1">Tabladatos[[#This Row],[Ingresos]]-Tabladatos[[#This Row],[Costos]]</f>
        <v>124729.5</v>
      </c>
    </row>
    <row r="383" spans="1:8" ht="22.5" customHeight="1" x14ac:dyDescent="0.25">
      <c r="A383" t="s">
        <v>16</v>
      </c>
      <c r="B383" t="str">
        <f ca="1">VLOOKUP(RANDBETWEEN(1,3),Tabla1[],2,FALSE)</f>
        <v>Norte</v>
      </c>
      <c r="C383">
        <v>2020</v>
      </c>
      <c r="D383" t="str">
        <f ca="1">VLOOKUP(RANDBETWEEN(1,4),Tabla2[],2,FALSE)</f>
        <v>3er Trimestre</v>
      </c>
      <c r="E383" t="str">
        <f ca="1">VLOOKUP(RANDBETWEEN(1,8),Tabla3[],2,FALSE)</f>
        <v>Impresoras</v>
      </c>
      <c r="F383" s="15">
        <f ca="1">VLOOKUP(RANDBETWEEN(1,12),Tabla4[],2,FALSE)</f>
        <v>120460</v>
      </c>
      <c r="G383" s="15">
        <f ca="1">Tabladatos[[#This Row],[Ingresos]]*VLOOKUP(RANDBETWEEN(1,10),Tabla5[],2,FALSE)</f>
        <v>12046</v>
      </c>
      <c r="H383" s="15">
        <f ca="1">Tabladatos[[#This Row],[Ingresos]]-Tabladatos[[#This Row],[Costos]]</f>
        <v>108414</v>
      </c>
    </row>
    <row r="384" spans="1:8" ht="22.5" customHeight="1" x14ac:dyDescent="0.25">
      <c r="A384" t="s">
        <v>16</v>
      </c>
      <c r="B384" t="str">
        <f ca="1">VLOOKUP(RANDBETWEEN(1,3),Tabla1[],2,FALSE)</f>
        <v>Norte</v>
      </c>
      <c r="C384">
        <v>2020</v>
      </c>
      <c r="D384" t="str">
        <f ca="1">VLOOKUP(RANDBETWEEN(1,4),Tabla2[],2,FALSE)</f>
        <v>1er Trimestre</v>
      </c>
      <c r="E384" t="str">
        <f ca="1">VLOOKUP(RANDBETWEEN(1,8),Tabla3[],2,FALSE)</f>
        <v>Escáners</v>
      </c>
      <c r="F384" s="15">
        <f ca="1">VLOOKUP(RANDBETWEEN(1,12),Tabla4[],2,FALSE)</f>
        <v>120460</v>
      </c>
      <c r="G384" s="15">
        <f ca="1">Tabladatos[[#This Row],[Ingresos]]*VLOOKUP(RANDBETWEEN(1,10),Tabla5[],2,FALSE)</f>
        <v>12046</v>
      </c>
      <c r="H384" s="15">
        <f ca="1">Tabladatos[[#This Row],[Ingresos]]-Tabladatos[[#This Row],[Costos]]</f>
        <v>108414</v>
      </c>
    </row>
    <row r="385" spans="1:8" ht="22.5" customHeight="1" x14ac:dyDescent="0.25">
      <c r="A385" t="s">
        <v>16</v>
      </c>
      <c r="B385" t="str">
        <f ca="1">VLOOKUP(RANDBETWEEN(1,3),Tabla1[],2,FALSE)</f>
        <v>Central</v>
      </c>
      <c r="C385">
        <v>2020</v>
      </c>
      <c r="D385" t="str">
        <f ca="1">VLOOKUP(RANDBETWEEN(1,4),Tabla2[],2,FALSE)</f>
        <v>1er Trimestre</v>
      </c>
      <c r="E385" t="str">
        <f ca="1">VLOOKUP(RANDBETWEEN(1,8),Tabla3[],2,FALSE)</f>
        <v>SSD</v>
      </c>
      <c r="F385" s="15">
        <f ca="1">VLOOKUP(RANDBETWEEN(1,12),Tabla4[],2,FALSE)</f>
        <v>120460</v>
      </c>
      <c r="G385" s="15">
        <f ca="1">Tabladatos[[#This Row],[Ingresos]]*VLOOKUP(RANDBETWEEN(1,10),Tabla5[],2,FALSE)</f>
        <v>30115</v>
      </c>
      <c r="H385" s="15">
        <f ca="1">Tabladatos[[#This Row],[Ingresos]]-Tabladatos[[#This Row],[Costos]]</f>
        <v>90345</v>
      </c>
    </row>
    <row r="386" spans="1:8" ht="22.5" customHeight="1" x14ac:dyDescent="0.25">
      <c r="A386" t="s">
        <v>16</v>
      </c>
      <c r="B386" t="str">
        <f ca="1">VLOOKUP(RANDBETWEEN(1,3),Tabla1[],2,FALSE)</f>
        <v>Norte</v>
      </c>
      <c r="C386">
        <v>2020</v>
      </c>
      <c r="D386" t="str">
        <f ca="1">VLOOKUP(RANDBETWEEN(1,4),Tabla2[],2,FALSE)</f>
        <v>4to Trimestre</v>
      </c>
      <c r="E386" t="str">
        <f ca="1">VLOOKUP(RANDBETWEEN(1,8),Tabla3[],2,FALSE)</f>
        <v>SSD</v>
      </c>
      <c r="F386" s="15">
        <f ca="1">VLOOKUP(RANDBETWEEN(1,12),Tabla4[],2,FALSE)</f>
        <v>66150</v>
      </c>
      <c r="G386" s="15">
        <f ca="1">Tabladatos[[#This Row],[Ingresos]]*VLOOKUP(RANDBETWEEN(1,10),Tabla5[],2,FALSE)</f>
        <v>26460</v>
      </c>
      <c r="H386" s="15">
        <f ca="1">Tabladatos[[#This Row],[Ingresos]]-Tabladatos[[#This Row],[Costos]]</f>
        <v>39690</v>
      </c>
    </row>
    <row r="387" spans="1:8" ht="22.5" customHeight="1" x14ac:dyDescent="0.25">
      <c r="A387" t="s">
        <v>16</v>
      </c>
      <c r="B387" t="str">
        <f ca="1">VLOOKUP(RANDBETWEEN(1,3),Tabla1[],2,FALSE)</f>
        <v>Central</v>
      </c>
      <c r="C387">
        <v>2020</v>
      </c>
      <c r="D387" t="str">
        <f ca="1">VLOOKUP(RANDBETWEEN(1,4),Tabla2[],2,FALSE)</f>
        <v>4to Trimestre</v>
      </c>
      <c r="E387" t="str">
        <f ca="1">VLOOKUP(RANDBETWEEN(1,8),Tabla3[],2,FALSE)</f>
        <v>Memorias USB</v>
      </c>
      <c r="F387" s="15">
        <f ca="1">VLOOKUP(RANDBETWEEN(1,12),Tabla4[],2,FALSE)</f>
        <v>599800</v>
      </c>
      <c r="G387" s="15">
        <f ca="1">Tabladatos[[#This Row],[Ingresos]]*VLOOKUP(RANDBETWEEN(1,10),Tabla5[],2,FALSE)</f>
        <v>299900</v>
      </c>
      <c r="H387" s="15">
        <f ca="1">Tabladatos[[#This Row],[Ingresos]]-Tabladatos[[#This Row],[Costos]]</f>
        <v>299900</v>
      </c>
    </row>
    <row r="388" spans="1:8" ht="22.5" customHeight="1" x14ac:dyDescent="0.25">
      <c r="A388" t="s">
        <v>16</v>
      </c>
      <c r="B388" t="str">
        <f ca="1">VLOOKUP(RANDBETWEEN(1,3),Tabla1[],2,FALSE)</f>
        <v>Central</v>
      </c>
      <c r="C388">
        <v>2020</v>
      </c>
      <c r="D388" t="str">
        <f ca="1">VLOOKUP(RANDBETWEEN(1,4),Tabla2[],2,FALSE)</f>
        <v>2do Trimestre</v>
      </c>
      <c r="E388" t="str">
        <f ca="1">VLOOKUP(RANDBETWEEN(1,8),Tabla3[],2,FALSE)</f>
        <v>Laptops</v>
      </c>
      <c r="F388" s="15">
        <f ca="1">VLOOKUP(RANDBETWEEN(1,12),Tabla4[],2,FALSE)</f>
        <v>535990</v>
      </c>
      <c r="G388" s="15">
        <f ca="1">Tabladatos[[#This Row],[Ingresos]]*VLOOKUP(RANDBETWEEN(1,10),Tabla5[],2,FALSE)</f>
        <v>107198</v>
      </c>
      <c r="H388" s="15">
        <f ca="1">Tabladatos[[#This Row],[Ingresos]]-Tabladatos[[#This Row],[Costos]]</f>
        <v>428792</v>
      </c>
    </row>
    <row r="389" spans="1:8" ht="22.5" customHeight="1" x14ac:dyDescent="0.25">
      <c r="A389" t="s">
        <v>16</v>
      </c>
      <c r="B389" t="str">
        <f ca="1">VLOOKUP(RANDBETWEEN(1,3),Tabla1[],2,FALSE)</f>
        <v>Norte</v>
      </c>
      <c r="C389">
        <v>2020</v>
      </c>
      <c r="D389" t="str">
        <f ca="1">VLOOKUP(RANDBETWEEN(1,4),Tabla2[],2,FALSE)</f>
        <v>1er Trimestre</v>
      </c>
      <c r="E389" t="str">
        <f ca="1">VLOOKUP(RANDBETWEEN(1,8),Tabla3[],2,FALSE)</f>
        <v>Computadoras</v>
      </c>
      <c r="F389" s="15">
        <f ca="1">VLOOKUP(RANDBETWEEN(1,12),Tabla4[],2,FALSE)</f>
        <v>535990</v>
      </c>
      <c r="G389" s="15">
        <f ca="1">Tabladatos[[#This Row],[Ingresos]]*VLOOKUP(RANDBETWEEN(1,10),Tabla5[],2,FALSE)</f>
        <v>107198</v>
      </c>
      <c r="H389" s="15">
        <f ca="1">Tabladatos[[#This Row],[Ingresos]]-Tabladatos[[#This Row],[Costos]]</f>
        <v>428792</v>
      </c>
    </row>
    <row r="390" spans="1:8" ht="22.5" customHeight="1" x14ac:dyDescent="0.25">
      <c r="A390" t="s">
        <v>16</v>
      </c>
      <c r="B390" t="str">
        <f ca="1">VLOOKUP(RANDBETWEEN(1,3),Tabla1[],2,FALSE)</f>
        <v xml:space="preserve">Sur </v>
      </c>
      <c r="C390">
        <v>2020</v>
      </c>
      <c r="D390" t="str">
        <f ca="1">VLOOKUP(RANDBETWEEN(1,4),Tabla2[],2,FALSE)</f>
        <v>3er Trimestre</v>
      </c>
      <c r="E390" t="str">
        <f ca="1">VLOOKUP(RANDBETWEEN(1,8),Tabla3[],2,FALSE)</f>
        <v>Computadoras</v>
      </c>
      <c r="F390" s="15">
        <f ca="1">VLOOKUP(RANDBETWEEN(1,12),Tabla4[],2,FALSE)</f>
        <v>599800</v>
      </c>
      <c r="G390" s="15">
        <f ca="1">Tabladatos[[#This Row],[Ingresos]]*VLOOKUP(RANDBETWEEN(1,10),Tabla5[],2,FALSE)</f>
        <v>479840</v>
      </c>
      <c r="H390" s="15">
        <f ca="1">Tabladatos[[#This Row],[Ingresos]]-Tabladatos[[#This Row],[Costos]]</f>
        <v>119960</v>
      </c>
    </row>
    <row r="391" spans="1:8" ht="22.5" customHeight="1" x14ac:dyDescent="0.25">
      <c r="A391" t="s">
        <v>16</v>
      </c>
      <c r="B391" t="str">
        <f ca="1">VLOOKUP(RANDBETWEEN(1,3),Tabla1[],2,FALSE)</f>
        <v>Central</v>
      </c>
      <c r="C391">
        <v>2020</v>
      </c>
      <c r="D391" t="str">
        <f ca="1">VLOOKUP(RANDBETWEEN(1,4),Tabla2[],2,FALSE)</f>
        <v>3er Trimestre</v>
      </c>
      <c r="E391" t="str">
        <f ca="1">VLOOKUP(RANDBETWEEN(1,8),Tabla3[],2,FALSE)</f>
        <v>Escáners</v>
      </c>
      <c r="F391" s="15">
        <f ca="1">VLOOKUP(RANDBETWEEN(1,12),Tabla4[],2,FALSE)</f>
        <v>228990</v>
      </c>
      <c r="G391" s="15">
        <f ca="1">Tabladatos[[#This Row],[Ingresos]]*VLOOKUP(RANDBETWEEN(1,10),Tabla5[],2,FALSE)</f>
        <v>137394</v>
      </c>
      <c r="H391" s="15">
        <f ca="1">Tabladatos[[#This Row],[Ingresos]]-Tabladatos[[#This Row],[Costos]]</f>
        <v>91596</v>
      </c>
    </row>
    <row r="392" spans="1:8" ht="22.5" customHeight="1" x14ac:dyDescent="0.25">
      <c r="A392" t="s">
        <v>16</v>
      </c>
      <c r="B392" t="str">
        <f ca="1">VLOOKUP(RANDBETWEEN(1,3),Tabla1[],2,FALSE)</f>
        <v>Central</v>
      </c>
      <c r="C392">
        <v>2020</v>
      </c>
      <c r="D392" t="str">
        <f ca="1">VLOOKUP(RANDBETWEEN(1,4),Tabla2[],2,FALSE)</f>
        <v>2do Trimestre</v>
      </c>
      <c r="E392" t="str">
        <f ca="1">VLOOKUP(RANDBETWEEN(1,8),Tabla3[],2,FALSE)</f>
        <v>Impresoras</v>
      </c>
      <c r="F392" s="15">
        <f ca="1">VLOOKUP(RANDBETWEEN(1,12),Tabla4[],2,FALSE)</f>
        <v>535990</v>
      </c>
      <c r="G392" s="15">
        <f ca="1">Tabladatos[[#This Row],[Ingresos]]*VLOOKUP(RANDBETWEEN(1,10),Tabla5[],2,FALSE)</f>
        <v>267995</v>
      </c>
      <c r="H392" s="15">
        <f ca="1">Tabladatos[[#This Row],[Ingresos]]-Tabladatos[[#This Row],[Costos]]</f>
        <v>267995</v>
      </c>
    </row>
    <row r="393" spans="1:8" ht="22.5" customHeight="1" x14ac:dyDescent="0.25">
      <c r="A393" t="s">
        <v>16</v>
      </c>
      <c r="B393" t="str">
        <f ca="1">VLOOKUP(RANDBETWEEN(1,3),Tabla1[],2,FALSE)</f>
        <v>Norte</v>
      </c>
      <c r="C393">
        <v>2020</v>
      </c>
      <c r="D393" t="str">
        <f ca="1">VLOOKUP(RANDBETWEEN(1,4),Tabla2[],2,FALSE)</f>
        <v>1er Trimestre</v>
      </c>
      <c r="E393" t="str">
        <f ca="1">VLOOKUP(RANDBETWEEN(1,8),Tabla3[],2,FALSE)</f>
        <v>Escáners</v>
      </c>
      <c r="F393" s="15">
        <f ca="1">VLOOKUP(RANDBETWEEN(1,12),Tabla4[],2,FALSE)</f>
        <v>535990</v>
      </c>
      <c r="G393" s="15">
        <f ca="1">Tabladatos[[#This Row],[Ingresos]]*VLOOKUP(RANDBETWEEN(1,10),Tabla5[],2,FALSE)</f>
        <v>107198</v>
      </c>
      <c r="H393" s="15">
        <f ca="1">Tabladatos[[#This Row],[Ingresos]]-Tabladatos[[#This Row],[Costos]]</f>
        <v>428792</v>
      </c>
    </row>
    <row r="394" spans="1:8" ht="22.5" customHeight="1" x14ac:dyDescent="0.25">
      <c r="A394" t="s">
        <v>16</v>
      </c>
      <c r="B394" t="str">
        <f ca="1">VLOOKUP(RANDBETWEEN(1,3),Tabla1[],2,FALSE)</f>
        <v>Central</v>
      </c>
      <c r="C394">
        <v>2020</v>
      </c>
      <c r="D394" t="str">
        <f ca="1">VLOOKUP(RANDBETWEEN(1,4),Tabla2[],2,FALSE)</f>
        <v>1er Trimestre</v>
      </c>
      <c r="E394" t="str">
        <f ca="1">VLOOKUP(RANDBETWEEN(1,8),Tabla3[],2,FALSE)</f>
        <v>Computadoras</v>
      </c>
      <c r="F394" s="15">
        <f ca="1">VLOOKUP(RANDBETWEEN(1,12),Tabla4[],2,FALSE)</f>
        <v>27300</v>
      </c>
      <c r="G394" s="15">
        <f ca="1">Tabladatos[[#This Row],[Ingresos]]*VLOOKUP(RANDBETWEEN(1,10),Tabla5[],2,FALSE)</f>
        <v>19110</v>
      </c>
      <c r="H394" s="15">
        <f ca="1">Tabladatos[[#This Row],[Ingresos]]-Tabladatos[[#This Row],[Costos]]</f>
        <v>8190</v>
      </c>
    </row>
    <row r="395" spans="1:8" ht="22.5" customHeight="1" x14ac:dyDescent="0.25">
      <c r="A395" t="s">
        <v>16</v>
      </c>
      <c r="B395" t="str">
        <f ca="1">VLOOKUP(RANDBETWEEN(1,3),Tabla1[],2,FALSE)</f>
        <v>Norte</v>
      </c>
      <c r="C395">
        <v>2020</v>
      </c>
      <c r="D395" t="str">
        <f ca="1">VLOOKUP(RANDBETWEEN(1,4),Tabla2[],2,FALSE)</f>
        <v>4to Trimestre</v>
      </c>
      <c r="E395" t="str">
        <f ca="1">VLOOKUP(RANDBETWEEN(1,8),Tabla3[],2,FALSE)</f>
        <v>Impresoras</v>
      </c>
      <c r="F395" s="15">
        <f ca="1">VLOOKUP(RANDBETWEEN(1,12),Tabla4[],2,FALSE)</f>
        <v>365285</v>
      </c>
      <c r="G395" s="15">
        <f ca="1">Tabladatos[[#This Row],[Ingresos]]*VLOOKUP(RANDBETWEEN(1,10),Tabla5[],2,FALSE)</f>
        <v>219171</v>
      </c>
      <c r="H395" s="15">
        <f ca="1">Tabladatos[[#This Row],[Ingresos]]-Tabladatos[[#This Row],[Costos]]</f>
        <v>146114</v>
      </c>
    </row>
    <row r="396" spans="1:8" ht="22.5" customHeight="1" x14ac:dyDescent="0.25">
      <c r="A396" t="s">
        <v>16</v>
      </c>
      <c r="B396" t="str">
        <f ca="1">VLOOKUP(RANDBETWEEN(1,3),Tabla1[],2,FALSE)</f>
        <v xml:space="preserve">Sur </v>
      </c>
      <c r="C396">
        <v>2020</v>
      </c>
      <c r="D396" t="str">
        <f ca="1">VLOOKUP(RANDBETWEEN(1,4),Tabla2[],2,FALSE)</f>
        <v>1er Trimestre</v>
      </c>
      <c r="E396" t="str">
        <f ca="1">VLOOKUP(RANDBETWEEN(1,8),Tabla3[],2,FALSE)</f>
        <v>Impresoras</v>
      </c>
      <c r="F396" s="15">
        <f ca="1">VLOOKUP(RANDBETWEEN(1,12),Tabla4[],2,FALSE)</f>
        <v>300000</v>
      </c>
      <c r="G396" s="15">
        <f ca="1">Tabladatos[[#This Row],[Ingresos]]*VLOOKUP(RANDBETWEEN(1,10),Tabla5[],2,FALSE)</f>
        <v>150000</v>
      </c>
      <c r="H396" s="15">
        <f ca="1">Tabladatos[[#This Row],[Ingresos]]-Tabladatos[[#This Row],[Costos]]</f>
        <v>150000</v>
      </c>
    </row>
    <row r="397" spans="1:8" ht="22.5" customHeight="1" x14ac:dyDescent="0.25">
      <c r="A397" t="s">
        <v>16</v>
      </c>
      <c r="B397" t="str">
        <f ca="1">VLOOKUP(RANDBETWEEN(1,3),Tabla1[],2,FALSE)</f>
        <v>Central</v>
      </c>
      <c r="C397">
        <v>2020</v>
      </c>
      <c r="D397" t="str">
        <f ca="1">VLOOKUP(RANDBETWEEN(1,4),Tabla2[],2,FALSE)</f>
        <v>2do Trimestre</v>
      </c>
      <c r="E397" t="str">
        <f ca="1">VLOOKUP(RANDBETWEEN(1,8),Tabla3[],2,FALSE)</f>
        <v>Tarjetas Wifi</v>
      </c>
      <c r="F397" s="15">
        <f ca="1">VLOOKUP(RANDBETWEEN(1,12),Tabla4[],2,FALSE)</f>
        <v>490000</v>
      </c>
      <c r="G397" s="15">
        <f ca="1">Tabladatos[[#This Row],[Ingresos]]*VLOOKUP(RANDBETWEEN(1,10),Tabla5[],2,FALSE)</f>
        <v>49000</v>
      </c>
      <c r="H397" s="15">
        <f ca="1">Tabladatos[[#This Row],[Ingresos]]-Tabladatos[[#This Row],[Costos]]</f>
        <v>441000</v>
      </c>
    </row>
    <row r="398" spans="1:8" ht="22.5" customHeight="1" x14ac:dyDescent="0.25">
      <c r="A398" t="s">
        <v>16</v>
      </c>
      <c r="B398" t="str">
        <f ca="1">VLOOKUP(RANDBETWEEN(1,3),Tabla1[],2,FALSE)</f>
        <v>Norte</v>
      </c>
      <c r="C398">
        <v>2020</v>
      </c>
      <c r="D398" t="str">
        <f ca="1">VLOOKUP(RANDBETWEEN(1,4),Tabla2[],2,FALSE)</f>
        <v>2do Trimestre</v>
      </c>
      <c r="E398" t="str">
        <f ca="1">VLOOKUP(RANDBETWEEN(1,8),Tabla3[],2,FALSE)</f>
        <v>Monitores</v>
      </c>
      <c r="F398" s="15">
        <f ca="1">VLOOKUP(RANDBETWEEN(1,12),Tabla4[],2,FALSE)</f>
        <v>535990</v>
      </c>
      <c r="G398" s="15">
        <f ca="1">Tabladatos[[#This Row],[Ingresos]]*VLOOKUP(RANDBETWEEN(1,10),Tabla5[],2,FALSE)</f>
        <v>53599</v>
      </c>
      <c r="H398" s="15">
        <f ca="1">Tabladatos[[#This Row],[Ingresos]]-Tabladatos[[#This Row],[Costos]]</f>
        <v>482391</v>
      </c>
    </row>
    <row r="399" spans="1:8" ht="22.5" customHeight="1" x14ac:dyDescent="0.25">
      <c r="A399" t="s">
        <v>16</v>
      </c>
      <c r="B399" t="str">
        <f ca="1">VLOOKUP(RANDBETWEEN(1,3),Tabla1[],2,FALSE)</f>
        <v>Central</v>
      </c>
      <c r="C399">
        <v>2020</v>
      </c>
      <c r="D399" t="str">
        <f ca="1">VLOOKUP(RANDBETWEEN(1,4),Tabla2[],2,FALSE)</f>
        <v>2do Trimestre</v>
      </c>
      <c r="E399" t="str">
        <f ca="1">VLOOKUP(RANDBETWEEN(1,8),Tabla3[],2,FALSE)</f>
        <v>Escáners</v>
      </c>
      <c r="F399" s="15">
        <f ca="1">VLOOKUP(RANDBETWEEN(1,12),Tabla4[],2,FALSE)</f>
        <v>415765</v>
      </c>
      <c r="G399" s="15">
        <f ca="1">Tabladatos[[#This Row],[Ingresos]]*VLOOKUP(RANDBETWEEN(1,10),Tabla5[],2,FALSE)</f>
        <v>249459</v>
      </c>
      <c r="H399" s="15">
        <f ca="1">Tabladatos[[#This Row],[Ingresos]]-Tabladatos[[#This Row],[Costos]]</f>
        <v>166306</v>
      </c>
    </row>
    <row r="400" spans="1:8" ht="22.5" customHeight="1" x14ac:dyDescent="0.25">
      <c r="A400" t="s">
        <v>16</v>
      </c>
      <c r="B400" t="str">
        <f ca="1">VLOOKUP(RANDBETWEEN(1,3),Tabla1[],2,FALSE)</f>
        <v>Norte</v>
      </c>
      <c r="C400">
        <v>2020</v>
      </c>
      <c r="D400" t="str">
        <f ca="1">VLOOKUP(RANDBETWEEN(1,4),Tabla2[],2,FALSE)</f>
        <v>1er Trimestre</v>
      </c>
      <c r="E400" t="str">
        <f ca="1">VLOOKUP(RANDBETWEEN(1,8),Tabla3[],2,FALSE)</f>
        <v>Monitores</v>
      </c>
      <c r="F400" s="15">
        <f ca="1">VLOOKUP(RANDBETWEEN(1,12),Tabla4[],2,FALSE)</f>
        <v>66150</v>
      </c>
      <c r="G400" s="15">
        <f ca="1">Tabladatos[[#This Row],[Ingresos]]*VLOOKUP(RANDBETWEEN(1,10),Tabla5[],2,FALSE)</f>
        <v>6615</v>
      </c>
      <c r="H400" s="15">
        <f ca="1">Tabladatos[[#This Row],[Ingresos]]-Tabladatos[[#This Row],[Costos]]</f>
        <v>59535</v>
      </c>
    </row>
    <row r="401" spans="1:8" ht="22.5" customHeight="1" x14ac:dyDescent="0.25">
      <c r="A401" t="s">
        <v>16</v>
      </c>
      <c r="B401" t="str">
        <f ca="1">VLOOKUP(RANDBETWEEN(1,3),Tabla1[],2,FALSE)</f>
        <v xml:space="preserve">Sur </v>
      </c>
      <c r="C401">
        <v>2020</v>
      </c>
      <c r="D401" t="str">
        <f ca="1">VLOOKUP(RANDBETWEEN(1,4),Tabla2[],2,FALSE)</f>
        <v>2do Trimestre</v>
      </c>
      <c r="E401" t="str">
        <f ca="1">VLOOKUP(RANDBETWEEN(1,8),Tabla3[],2,FALSE)</f>
        <v>Impresoras</v>
      </c>
      <c r="F401" s="15">
        <f ca="1">VLOOKUP(RANDBETWEEN(1,12),Tabla4[],2,FALSE)</f>
        <v>170000</v>
      </c>
      <c r="G401" s="15">
        <f ca="1">Tabladatos[[#This Row],[Ingresos]]*VLOOKUP(RANDBETWEEN(1,10),Tabla5[],2,FALSE)</f>
        <v>51000</v>
      </c>
      <c r="H401" s="15">
        <f ca="1">Tabladatos[[#This Row],[Ingresos]]-Tabladatos[[#This Row],[Costos]]</f>
        <v>119000</v>
      </c>
    </row>
    <row r="402" spans="1:8" ht="22.5" customHeight="1" x14ac:dyDescent="0.25">
      <c r="A402" t="s">
        <v>16</v>
      </c>
      <c r="B402" t="str">
        <f ca="1">VLOOKUP(RANDBETWEEN(1,3),Tabla1[],2,FALSE)</f>
        <v>Central</v>
      </c>
      <c r="C402">
        <v>2020</v>
      </c>
      <c r="D402" t="str">
        <f ca="1">VLOOKUP(RANDBETWEEN(1,4),Tabla2[],2,FALSE)</f>
        <v>1er Trimestre</v>
      </c>
      <c r="E402" t="str">
        <f ca="1">VLOOKUP(RANDBETWEEN(1,8),Tabla3[],2,FALSE)</f>
        <v>Impresoras</v>
      </c>
      <c r="F402" s="15">
        <f ca="1">VLOOKUP(RANDBETWEEN(1,12),Tabla4[],2,FALSE)</f>
        <v>535990</v>
      </c>
      <c r="G402" s="15">
        <f ca="1">Tabladatos[[#This Row],[Ingresos]]*VLOOKUP(RANDBETWEEN(1,10),Tabla5[],2,FALSE)</f>
        <v>214396</v>
      </c>
      <c r="H402" s="15">
        <f ca="1">Tabladatos[[#This Row],[Ingresos]]-Tabladatos[[#This Row],[Costos]]</f>
        <v>321594</v>
      </c>
    </row>
    <row r="403" spans="1:8" ht="22.5" customHeight="1" x14ac:dyDescent="0.25">
      <c r="A403" t="s">
        <v>16</v>
      </c>
      <c r="B403" t="str">
        <f ca="1">VLOOKUP(RANDBETWEEN(1,3),Tabla1[],2,FALSE)</f>
        <v>Central</v>
      </c>
      <c r="C403">
        <v>2020</v>
      </c>
      <c r="D403" t="str">
        <f ca="1">VLOOKUP(RANDBETWEEN(1,4),Tabla2[],2,FALSE)</f>
        <v>3er Trimestre</v>
      </c>
      <c r="E403" t="str">
        <f ca="1">VLOOKUP(RANDBETWEEN(1,8),Tabla3[],2,FALSE)</f>
        <v>Computadoras</v>
      </c>
      <c r="F403" s="15">
        <f ca="1">VLOOKUP(RANDBETWEEN(1,12),Tabla4[],2,FALSE)</f>
        <v>228990</v>
      </c>
      <c r="G403" s="15">
        <f ca="1">Tabladatos[[#This Row],[Ingresos]]*VLOOKUP(RANDBETWEEN(1,10),Tabla5[],2,FALSE)</f>
        <v>137394</v>
      </c>
      <c r="H403" s="15">
        <f ca="1">Tabladatos[[#This Row],[Ingresos]]-Tabladatos[[#This Row],[Costos]]</f>
        <v>91596</v>
      </c>
    </row>
    <row r="404" spans="1:8" ht="22.5" customHeight="1" x14ac:dyDescent="0.25">
      <c r="A404" t="s">
        <v>16</v>
      </c>
      <c r="B404" t="str">
        <f ca="1">VLOOKUP(RANDBETWEEN(1,3),Tabla1[],2,FALSE)</f>
        <v xml:space="preserve">Sur </v>
      </c>
      <c r="C404">
        <v>2020</v>
      </c>
      <c r="D404" t="str">
        <f ca="1">VLOOKUP(RANDBETWEEN(1,4),Tabla2[],2,FALSE)</f>
        <v>1er Trimestre</v>
      </c>
      <c r="E404" t="str">
        <f ca="1">VLOOKUP(RANDBETWEEN(1,8),Tabla3[],2,FALSE)</f>
        <v>Memorias USB</v>
      </c>
      <c r="F404" s="15">
        <f ca="1">VLOOKUP(RANDBETWEEN(1,12),Tabla4[],2,FALSE)</f>
        <v>599800</v>
      </c>
      <c r="G404" s="15">
        <f ca="1">Tabladatos[[#This Row],[Ingresos]]*VLOOKUP(RANDBETWEEN(1,10),Tabla5[],2,FALSE)</f>
        <v>59980</v>
      </c>
      <c r="H404" s="15">
        <f ca="1">Tabladatos[[#This Row],[Ingresos]]-Tabladatos[[#This Row],[Costos]]</f>
        <v>539820</v>
      </c>
    </row>
    <row r="405" spans="1:8" ht="22.5" customHeight="1" x14ac:dyDescent="0.25">
      <c r="A405" t="s">
        <v>16</v>
      </c>
      <c r="B405" t="str">
        <f ca="1">VLOOKUP(RANDBETWEEN(1,3),Tabla1[],2,FALSE)</f>
        <v xml:space="preserve">Sur </v>
      </c>
      <c r="C405">
        <v>2020</v>
      </c>
      <c r="D405" t="str">
        <f ca="1">VLOOKUP(RANDBETWEEN(1,4),Tabla2[],2,FALSE)</f>
        <v>1er Trimestre</v>
      </c>
      <c r="E405" t="str">
        <f ca="1">VLOOKUP(RANDBETWEEN(1,8),Tabla3[],2,FALSE)</f>
        <v>SSD</v>
      </c>
      <c r="F405" s="15">
        <f ca="1">VLOOKUP(RANDBETWEEN(1,12),Tabla4[],2,FALSE)</f>
        <v>66150</v>
      </c>
      <c r="G405" s="15">
        <f ca="1">Tabladatos[[#This Row],[Ingresos]]*VLOOKUP(RANDBETWEEN(1,10),Tabla5[],2,FALSE)</f>
        <v>19845</v>
      </c>
      <c r="H405" s="15">
        <f ca="1">Tabladatos[[#This Row],[Ingresos]]-Tabladatos[[#This Row],[Costos]]</f>
        <v>46305</v>
      </c>
    </row>
    <row r="406" spans="1:8" ht="22.5" customHeight="1" x14ac:dyDescent="0.25">
      <c r="A406" t="s">
        <v>16</v>
      </c>
      <c r="B406" t="str">
        <f ca="1">VLOOKUP(RANDBETWEEN(1,3),Tabla1[],2,FALSE)</f>
        <v>Central</v>
      </c>
      <c r="C406">
        <v>2020</v>
      </c>
      <c r="D406" t="str">
        <f ca="1">VLOOKUP(RANDBETWEEN(1,4),Tabla2[],2,FALSE)</f>
        <v>3er Trimestre</v>
      </c>
      <c r="E406" t="str">
        <f ca="1">VLOOKUP(RANDBETWEEN(1,8),Tabla3[],2,FALSE)</f>
        <v>Monitores</v>
      </c>
      <c r="F406" s="15">
        <f ca="1">VLOOKUP(RANDBETWEEN(1,12),Tabla4[],2,FALSE)</f>
        <v>170000</v>
      </c>
      <c r="G406" s="15">
        <f ca="1">Tabladatos[[#This Row],[Ingresos]]*VLOOKUP(RANDBETWEEN(1,10),Tabla5[],2,FALSE)</f>
        <v>118999.99999999999</v>
      </c>
      <c r="H406" s="15">
        <f ca="1">Tabladatos[[#This Row],[Ingresos]]-Tabladatos[[#This Row],[Costos]]</f>
        <v>51000.000000000015</v>
      </c>
    </row>
    <row r="407" spans="1:8" ht="22.5" customHeight="1" x14ac:dyDescent="0.25">
      <c r="A407" t="s">
        <v>16</v>
      </c>
      <c r="B407" t="str">
        <f ca="1">VLOOKUP(RANDBETWEEN(1,3),Tabla1[],2,FALSE)</f>
        <v>Norte</v>
      </c>
      <c r="C407">
        <v>2020</v>
      </c>
      <c r="D407" t="str">
        <f ca="1">VLOOKUP(RANDBETWEEN(1,4),Tabla2[],2,FALSE)</f>
        <v>2do Trimestre</v>
      </c>
      <c r="E407" t="str">
        <f ca="1">VLOOKUP(RANDBETWEEN(1,8),Tabla3[],2,FALSE)</f>
        <v>Tarjetas Wifi</v>
      </c>
      <c r="F407" s="15">
        <f ca="1">VLOOKUP(RANDBETWEEN(1,12),Tabla4[],2,FALSE)</f>
        <v>599800</v>
      </c>
      <c r="G407" s="15">
        <f ca="1">Tabladatos[[#This Row],[Ingresos]]*VLOOKUP(RANDBETWEEN(1,10),Tabla5[],2,FALSE)</f>
        <v>479840</v>
      </c>
      <c r="H407" s="15">
        <f ca="1">Tabladatos[[#This Row],[Ingresos]]-Tabladatos[[#This Row],[Costos]]</f>
        <v>119960</v>
      </c>
    </row>
    <row r="408" spans="1:8" ht="22.5" customHeight="1" x14ac:dyDescent="0.25">
      <c r="A408" t="s">
        <v>16</v>
      </c>
      <c r="B408" t="str">
        <f ca="1">VLOOKUP(RANDBETWEEN(1,3),Tabla1[],2,FALSE)</f>
        <v>Norte</v>
      </c>
      <c r="C408">
        <v>2020</v>
      </c>
      <c r="D408" t="str">
        <f ca="1">VLOOKUP(RANDBETWEEN(1,4),Tabla2[],2,FALSE)</f>
        <v>3er Trimestre</v>
      </c>
      <c r="E408" t="str">
        <f ca="1">VLOOKUP(RANDBETWEEN(1,8),Tabla3[],2,FALSE)</f>
        <v>Impresoras</v>
      </c>
      <c r="F408" s="15">
        <f ca="1">VLOOKUP(RANDBETWEEN(1,12),Tabla4[],2,FALSE)</f>
        <v>27300</v>
      </c>
      <c r="G408" s="15">
        <f ca="1">Tabladatos[[#This Row],[Ingresos]]*VLOOKUP(RANDBETWEEN(1,10),Tabla5[],2,FALSE)</f>
        <v>19110</v>
      </c>
      <c r="H408" s="15">
        <f ca="1">Tabladatos[[#This Row],[Ingresos]]-Tabladatos[[#This Row],[Costos]]</f>
        <v>8190</v>
      </c>
    </row>
    <row r="409" spans="1:8" ht="22.5" customHeight="1" x14ac:dyDescent="0.25">
      <c r="A409" t="s">
        <v>16</v>
      </c>
      <c r="B409" t="str">
        <f ca="1">VLOOKUP(RANDBETWEEN(1,3),Tabla1[],2,FALSE)</f>
        <v>Central</v>
      </c>
      <c r="C409">
        <v>2020</v>
      </c>
      <c r="D409" t="str">
        <f ca="1">VLOOKUP(RANDBETWEEN(1,4),Tabla2[],2,FALSE)</f>
        <v>3er Trimestre</v>
      </c>
      <c r="E409" t="str">
        <f ca="1">VLOOKUP(RANDBETWEEN(1,8),Tabla3[],2,FALSE)</f>
        <v>SSD</v>
      </c>
      <c r="F409" s="15">
        <f ca="1">VLOOKUP(RANDBETWEEN(1,12),Tabla4[],2,FALSE)</f>
        <v>490000</v>
      </c>
      <c r="G409" s="15">
        <f ca="1">Tabladatos[[#This Row],[Ingresos]]*VLOOKUP(RANDBETWEEN(1,10),Tabla5[],2,FALSE)</f>
        <v>98000</v>
      </c>
      <c r="H409" s="15">
        <f ca="1">Tabladatos[[#This Row],[Ingresos]]-Tabladatos[[#This Row],[Costos]]</f>
        <v>392000</v>
      </c>
    </row>
    <row r="410" spans="1:8" ht="22.5" customHeight="1" x14ac:dyDescent="0.25">
      <c r="A410" t="s">
        <v>16</v>
      </c>
      <c r="B410" t="str">
        <f ca="1">VLOOKUP(RANDBETWEEN(1,3),Tabla1[],2,FALSE)</f>
        <v>Norte</v>
      </c>
      <c r="C410">
        <v>2020</v>
      </c>
      <c r="D410" t="str">
        <f ca="1">VLOOKUP(RANDBETWEEN(1,4),Tabla2[],2,FALSE)</f>
        <v>3er Trimestre</v>
      </c>
      <c r="E410" t="str">
        <f ca="1">VLOOKUP(RANDBETWEEN(1,8),Tabla3[],2,FALSE)</f>
        <v>Tarjetas Wifi</v>
      </c>
      <c r="F410" s="15">
        <f ca="1">VLOOKUP(RANDBETWEEN(1,12),Tabla4[],2,FALSE)</f>
        <v>95945</v>
      </c>
      <c r="G410" s="15">
        <f ca="1">Tabladatos[[#This Row],[Ingresos]]*VLOOKUP(RANDBETWEEN(1,10),Tabla5[],2,FALSE)</f>
        <v>9594.5</v>
      </c>
      <c r="H410" s="15">
        <f ca="1">Tabladatos[[#This Row],[Ingresos]]-Tabladatos[[#This Row],[Costos]]</f>
        <v>86350.5</v>
      </c>
    </row>
    <row r="411" spans="1:8" ht="22.5" customHeight="1" x14ac:dyDescent="0.25">
      <c r="A411" t="s">
        <v>16</v>
      </c>
      <c r="B411" t="str">
        <f ca="1">VLOOKUP(RANDBETWEEN(1,3),Tabla1[],2,FALSE)</f>
        <v>Norte</v>
      </c>
      <c r="C411">
        <v>2020</v>
      </c>
      <c r="D411" t="str">
        <f ca="1">VLOOKUP(RANDBETWEEN(1,4),Tabla2[],2,FALSE)</f>
        <v>3er Trimestre</v>
      </c>
      <c r="E411" t="str">
        <f ca="1">VLOOKUP(RANDBETWEEN(1,8),Tabla3[],2,FALSE)</f>
        <v>Escáners</v>
      </c>
      <c r="F411" s="15">
        <f ca="1">VLOOKUP(RANDBETWEEN(1,12),Tabla4[],2,FALSE)</f>
        <v>300000</v>
      </c>
      <c r="G411" s="15">
        <f ca="1">Tabladatos[[#This Row],[Ingresos]]*VLOOKUP(RANDBETWEEN(1,10),Tabla5[],2,FALSE)</f>
        <v>60000</v>
      </c>
      <c r="H411" s="15">
        <f ca="1">Tabladatos[[#This Row],[Ingresos]]-Tabladatos[[#This Row],[Costos]]</f>
        <v>240000</v>
      </c>
    </row>
    <row r="412" spans="1:8" ht="22.5" customHeight="1" x14ac:dyDescent="0.25">
      <c r="A412" t="s">
        <v>16</v>
      </c>
      <c r="B412" t="str">
        <f ca="1">VLOOKUP(RANDBETWEEN(1,3),Tabla1[],2,FALSE)</f>
        <v xml:space="preserve">Sur </v>
      </c>
      <c r="C412">
        <v>2020</v>
      </c>
      <c r="D412" t="str">
        <f ca="1">VLOOKUP(RANDBETWEEN(1,4),Tabla2[],2,FALSE)</f>
        <v>3er Trimestre</v>
      </c>
      <c r="E412" t="str">
        <f ca="1">VLOOKUP(RANDBETWEEN(1,8),Tabla3[],2,FALSE)</f>
        <v>Laptops</v>
      </c>
      <c r="F412" s="15">
        <f ca="1">VLOOKUP(RANDBETWEEN(1,12),Tabla4[],2,FALSE)</f>
        <v>228990</v>
      </c>
      <c r="G412" s="15">
        <f ca="1">Tabladatos[[#This Row],[Ingresos]]*VLOOKUP(RANDBETWEEN(1,10),Tabla5[],2,FALSE)</f>
        <v>22899</v>
      </c>
      <c r="H412" s="15">
        <f ca="1">Tabladatos[[#This Row],[Ingresos]]-Tabladatos[[#This Row],[Costos]]</f>
        <v>206091</v>
      </c>
    </row>
    <row r="413" spans="1:8" ht="22.5" customHeight="1" x14ac:dyDescent="0.25">
      <c r="A413" t="s">
        <v>16</v>
      </c>
      <c r="B413" t="str">
        <f ca="1">VLOOKUP(RANDBETWEEN(1,3),Tabla1[],2,FALSE)</f>
        <v>Norte</v>
      </c>
      <c r="C413">
        <v>2020</v>
      </c>
      <c r="D413" t="str">
        <f ca="1">VLOOKUP(RANDBETWEEN(1,4),Tabla2[],2,FALSE)</f>
        <v>1er Trimestre</v>
      </c>
      <c r="E413" t="str">
        <f ca="1">VLOOKUP(RANDBETWEEN(1,8),Tabla3[],2,FALSE)</f>
        <v>Tarjetas Wifi</v>
      </c>
      <c r="F413" s="15">
        <f ca="1">VLOOKUP(RANDBETWEEN(1,12),Tabla4[],2,FALSE)</f>
        <v>415765</v>
      </c>
      <c r="G413" s="15">
        <f ca="1">Tabladatos[[#This Row],[Ingresos]]*VLOOKUP(RANDBETWEEN(1,10),Tabla5[],2,FALSE)</f>
        <v>291035.5</v>
      </c>
      <c r="H413" s="15">
        <f ca="1">Tabladatos[[#This Row],[Ingresos]]-Tabladatos[[#This Row],[Costos]]</f>
        <v>124729.5</v>
      </c>
    </row>
    <row r="414" spans="1:8" ht="22.5" customHeight="1" x14ac:dyDescent="0.25">
      <c r="A414" t="s">
        <v>16</v>
      </c>
      <c r="B414" t="str">
        <f ca="1">VLOOKUP(RANDBETWEEN(1,3),Tabla1[],2,FALSE)</f>
        <v>Norte</v>
      </c>
      <c r="C414">
        <v>2020</v>
      </c>
      <c r="D414" t="str">
        <f ca="1">VLOOKUP(RANDBETWEEN(1,4),Tabla2[],2,FALSE)</f>
        <v>4to Trimestre</v>
      </c>
      <c r="E414" t="str">
        <f ca="1">VLOOKUP(RANDBETWEEN(1,8),Tabla3[],2,FALSE)</f>
        <v>Tarjetas Wifi</v>
      </c>
      <c r="F414" s="15">
        <f ca="1">VLOOKUP(RANDBETWEEN(1,12),Tabla4[],2,FALSE)</f>
        <v>228990</v>
      </c>
      <c r="G414" s="15">
        <f ca="1">Tabladatos[[#This Row],[Ingresos]]*VLOOKUP(RANDBETWEEN(1,10),Tabla5[],2,FALSE)</f>
        <v>45798</v>
      </c>
      <c r="H414" s="15">
        <f ca="1">Tabladatos[[#This Row],[Ingresos]]-Tabladatos[[#This Row],[Costos]]</f>
        <v>183192</v>
      </c>
    </row>
    <row r="415" spans="1:8" ht="22.5" customHeight="1" x14ac:dyDescent="0.25">
      <c r="A415" t="s">
        <v>17</v>
      </c>
      <c r="B415" t="str">
        <f ca="1">VLOOKUP(RANDBETWEEN(1,3),Tabla1[],2,FALSE)</f>
        <v>Norte</v>
      </c>
      <c r="C415">
        <v>2020</v>
      </c>
      <c r="D415" t="str">
        <f ca="1">VLOOKUP(RANDBETWEEN(1,4),Tabla2[],2,FALSE)</f>
        <v>4to Trimestre</v>
      </c>
      <c r="E415" t="str">
        <f ca="1">VLOOKUP(RANDBETWEEN(1,8),Tabla3[],2,FALSE)</f>
        <v>Memorias USB</v>
      </c>
      <c r="F415" s="15">
        <f ca="1">VLOOKUP(RANDBETWEEN(1,12),Tabla4[],2,FALSE)</f>
        <v>120460</v>
      </c>
      <c r="G415" s="15">
        <f ca="1">Tabladatos[[#This Row],[Ingresos]]*VLOOKUP(RANDBETWEEN(1,10),Tabla5[],2,FALSE)</f>
        <v>96368</v>
      </c>
      <c r="H415" s="15">
        <f ca="1">Tabladatos[[#This Row],[Ingresos]]-Tabladatos[[#This Row],[Costos]]</f>
        <v>24092</v>
      </c>
    </row>
    <row r="416" spans="1:8" ht="22.5" customHeight="1" x14ac:dyDescent="0.25">
      <c r="A416" t="s">
        <v>17</v>
      </c>
      <c r="B416" t="str">
        <f ca="1">VLOOKUP(RANDBETWEEN(1,3),Tabla1[],2,FALSE)</f>
        <v>Central</v>
      </c>
      <c r="C416">
        <v>2020</v>
      </c>
      <c r="D416" t="str">
        <f ca="1">VLOOKUP(RANDBETWEEN(1,4),Tabla2[],2,FALSE)</f>
        <v>3er Trimestre</v>
      </c>
      <c r="E416" t="str">
        <f ca="1">VLOOKUP(RANDBETWEEN(1,8),Tabla3[],2,FALSE)</f>
        <v>Escáners</v>
      </c>
      <c r="F416" s="15">
        <f ca="1">VLOOKUP(RANDBETWEEN(1,12),Tabla4[],2,FALSE)</f>
        <v>120460</v>
      </c>
      <c r="G416" s="15">
        <f ca="1">Tabladatos[[#This Row],[Ingresos]]*VLOOKUP(RANDBETWEEN(1,10),Tabla5[],2,FALSE)</f>
        <v>48184</v>
      </c>
      <c r="H416" s="15">
        <f ca="1">Tabladatos[[#This Row],[Ingresos]]-Tabladatos[[#This Row],[Costos]]</f>
        <v>72276</v>
      </c>
    </row>
    <row r="417" spans="1:8" ht="22.5" customHeight="1" x14ac:dyDescent="0.25">
      <c r="A417" t="s">
        <v>17</v>
      </c>
      <c r="B417" t="str">
        <f ca="1">VLOOKUP(RANDBETWEEN(1,3),Tabla1[],2,FALSE)</f>
        <v>Central</v>
      </c>
      <c r="C417">
        <v>2020</v>
      </c>
      <c r="D417" t="str">
        <f ca="1">VLOOKUP(RANDBETWEEN(1,4),Tabla2[],2,FALSE)</f>
        <v>2do Trimestre</v>
      </c>
      <c r="E417" t="str">
        <f ca="1">VLOOKUP(RANDBETWEEN(1,8),Tabla3[],2,FALSE)</f>
        <v>SSD</v>
      </c>
      <c r="F417" s="15">
        <f ca="1">VLOOKUP(RANDBETWEEN(1,12),Tabla4[],2,FALSE)</f>
        <v>27300</v>
      </c>
      <c r="G417" s="15">
        <f ca="1">Tabladatos[[#This Row],[Ingresos]]*VLOOKUP(RANDBETWEEN(1,10),Tabla5[],2,FALSE)</f>
        <v>16380</v>
      </c>
      <c r="H417" s="15">
        <f ca="1">Tabladatos[[#This Row],[Ingresos]]-Tabladatos[[#This Row],[Costos]]</f>
        <v>10920</v>
      </c>
    </row>
    <row r="418" spans="1:8" ht="22.5" customHeight="1" x14ac:dyDescent="0.25">
      <c r="A418" t="s">
        <v>17</v>
      </c>
      <c r="B418" t="str">
        <f ca="1">VLOOKUP(RANDBETWEEN(1,3),Tabla1[],2,FALSE)</f>
        <v>Central</v>
      </c>
      <c r="C418">
        <v>2020</v>
      </c>
      <c r="D418" t="str">
        <f ca="1">VLOOKUP(RANDBETWEEN(1,4),Tabla2[],2,FALSE)</f>
        <v>1er Trimestre</v>
      </c>
      <c r="E418" t="str">
        <f ca="1">VLOOKUP(RANDBETWEEN(1,8),Tabla3[],2,FALSE)</f>
        <v>Monitores</v>
      </c>
      <c r="F418" s="15">
        <f ca="1">VLOOKUP(RANDBETWEEN(1,12),Tabla4[],2,FALSE)</f>
        <v>415765</v>
      </c>
      <c r="G418" s="15">
        <f ca="1">Tabladatos[[#This Row],[Ingresos]]*VLOOKUP(RANDBETWEEN(1,10),Tabla5[],2,FALSE)</f>
        <v>291035.5</v>
      </c>
      <c r="H418" s="15">
        <f ca="1">Tabladatos[[#This Row],[Ingresos]]-Tabladatos[[#This Row],[Costos]]</f>
        <v>124729.5</v>
      </c>
    </row>
    <row r="419" spans="1:8" ht="22.5" customHeight="1" x14ac:dyDescent="0.25">
      <c r="A419" t="s">
        <v>17</v>
      </c>
      <c r="B419" t="str">
        <f ca="1">VLOOKUP(RANDBETWEEN(1,3),Tabla1[],2,FALSE)</f>
        <v xml:space="preserve">Sur </v>
      </c>
      <c r="C419">
        <v>2020</v>
      </c>
      <c r="D419" t="str">
        <f ca="1">VLOOKUP(RANDBETWEEN(1,4),Tabla2[],2,FALSE)</f>
        <v>3er Trimestre</v>
      </c>
      <c r="E419" t="str">
        <f ca="1">VLOOKUP(RANDBETWEEN(1,8),Tabla3[],2,FALSE)</f>
        <v>Escáners</v>
      </c>
      <c r="F419" s="15">
        <f ca="1">VLOOKUP(RANDBETWEEN(1,12),Tabla4[],2,FALSE)</f>
        <v>170000</v>
      </c>
      <c r="G419" s="15">
        <f ca="1">Tabladatos[[#This Row],[Ingresos]]*VLOOKUP(RANDBETWEEN(1,10),Tabla5[],2,FALSE)</f>
        <v>25500</v>
      </c>
      <c r="H419" s="15">
        <f ca="1">Tabladatos[[#This Row],[Ingresos]]-Tabladatos[[#This Row],[Costos]]</f>
        <v>144500</v>
      </c>
    </row>
    <row r="420" spans="1:8" ht="22.5" customHeight="1" x14ac:dyDescent="0.25">
      <c r="A420" t="s">
        <v>17</v>
      </c>
      <c r="B420" t="str">
        <f ca="1">VLOOKUP(RANDBETWEEN(1,3),Tabla1[],2,FALSE)</f>
        <v xml:space="preserve">Sur </v>
      </c>
      <c r="C420">
        <v>2020</v>
      </c>
      <c r="D420" t="str">
        <f ca="1">VLOOKUP(RANDBETWEEN(1,4),Tabla2[],2,FALSE)</f>
        <v>4to Trimestre</v>
      </c>
      <c r="E420" t="str">
        <f ca="1">VLOOKUP(RANDBETWEEN(1,8),Tabla3[],2,FALSE)</f>
        <v>Computadoras</v>
      </c>
      <c r="F420" s="15">
        <f ca="1">VLOOKUP(RANDBETWEEN(1,12),Tabla4[],2,FALSE)</f>
        <v>120460</v>
      </c>
      <c r="G420" s="15">
        <f ca="1">Tabladatos[[#This Row],[Ingresos]]*VLOOKUP(RANDBETWEEN(1,10),Tabla5[],2,FALSE)</f>
        <v>12046</v>
      </c>
      <c r="H420" s="15">
        <f ca="1">Tabladatos[[#This Row],[Ingresos]]-Tabladatos[[#This Row],[Costos]]</f>
        <v>108414</v>
      </c>
    </row>
    <row r="421" spans="1:8" ht="22.5" customHeight="1" x14ac:dyDescent="0.25">
      <c r="A421" t="s">
        <v>17</v>
      </c>
      <c r="B421" t="str">
        <f ca="1">VLOOKUP(RANDBETWEEN(1,3),Tabla1[],2,FALSE)</f>
        <v>Central</v>
      </c>
      <c r="C421">
        <v>2020</v>
      </c>
      <c r="D421" t="str">
        <f ca="1">VLOOKUP(RANDBETWEEN(1,4),Tabla2[],2,FALSE)</f>
        <v>4to Trimestre</v>
      </c>
      <c r="E421" t="str">
        <f ca="1">VLOOKUP(RANDBETWEEN(1,8),Tabla3[],2,FALSE)</f>
        <v>Laptops</v>
      </c>
      <c r="F421" s="15">
        <f ca="1">VLOOKUP(RANDBETWEEN(1,12),Tabla4[],2,FALSE)</f>
        <v>120460</v>
      </c>
      <c r="G421" s="15">
        <f ca="1">Tabladatos[[#This Row],[Ingresos]]*VLOOKUP(RANDBETWEEN(1,10),Tabla5[],2,FALSE)</f>
        <v>72276</v>
      </c>
      <c r="H421" s="15">
        <f ca="1">Tabladatos[[#This Row],[Ingresos]]-Tabladatos[[#This Row],[Costos]]</f>
        <v>48184</v>
      </c>
    </row>
    <row r="422" spans="1:8" ht="22.5" customHeight="1" x14ac:dyDescent="0.25">
      <c r="A422" t="s">
        <v>17</v>
      </c>
      <c r="B422" t="str">
        <f ca="1">VLOOKUP(RANDBETWEEN(1,3),Tabla1[],2,FALSE)</f>
        <v>Norte</v>
      </c>
      <c r="C422">
        <v>2020</v>
      </c>
      <c r="D422" t="str">
        <f ca="1">VLOOKUP(RANDBETWEEN(1,4),Tabla2[],2,FALSE)</f>
        <v>3er Trimestre</v>
      </c>
      <c r="E422" t="str">
        <f ca="1">VLOOKUP(RANDBETWEEN(1,8),Tabla3[],2,FALSE)</f>
        <v>Laptops</v>
      </c>
      <c r="F422" s="15">
        <f ca="1">VLOOKUP(RANDBETWEEN(1,12),Tabla4[],2,FALSE)</f>
        <v>365285</v>
      </c>
      <c r="G422" s="15">
        <f ca="1">Tabladatos[[#This Row],[Ingresos]]*VLOOKUP(RANDBETWEEN(1,10),Tabla5[],2,FALSE)</f>
        <v>219171</v>
      </c>
      <c r="H422" s="15">
        <f ca="1">Tabladatos[[#This Row],[Ingresos]]-Tabladatos[[#This Row],[Costos]]</f>
        <v>146114</v>
      </c>
    </row>
    <row r="423" spans="1:8" ht="22.5" customHeight="1" x14ac:dyDescent="0.25">
      <c r="A423" t="s">
        <v>17</v>
      </c>
      <c r="B423" t="str">
        <f ca="1">VLOOKUP(RANDBETWEEN(1,3),Tabla1[],2,FALSE)</f>
        <v>Norte</v>
      </c>
      <c r="C423">
        <v>2020</v>
      </c>
      <c r="D423" t="str">
        <f ca="1">VLOOKUP(RANDBETWEEN(1,4),Tabla2[],2,FALSE)</f>
        <v>1er Trimestre</v>
      </c>
      <c r="E423" t="str">
        <f ca="1">VLOOKUP(RANDBETWEEN(1,8),Tabla3[],2,FALSE)</f>
        <v>Monitores</v>
      </c>
      <c r="F423" s="15">
        <f ca="1">VLOOKUP(RANDBETWEEN(1,12),Tabla4[],2,FALSE)</f>
        <v>535990</v>
      </c>
      <c r="G423" s="15">
        <f ca="1">Tabladatos[[#This Row],[Ingresos]]*VLOOKUP(RANDBETWEEN(1,10),Tabla5[],2,FALSE)</f>
        <v>214396</v>
      </c>
      <c r="H423" s="15">
        <f ca="1">Tabladatos[[#This Row],[Ingresos]]-Tabladatos[[#This Row],[Costos]]</f>
        <v>321594</v>
      </c>
    </row>
    <row r="424" spans="1:8" ht="22.5" customHeight="1" x14ac:dyDescent="0.25">
      <c r="A424" t="s">
        <v>17</v>
      </c>
      <c r="B424" t="str">
        <f ca="1">VLOOKUP(RANDBETWEEN(1,3),Tabla1[],2,FALSE)</f>
        <v>Norte</v>
      </c>
      <c r="C424">
        <v>2020</v>
      </c>
      <c r="D424" t="str">
        <f ca="1">VLOOKUP(RANDBETWEEN(1,4),Tabla2[],2,FALSE)</f>
        <v>3er Trimestre</v>
      </c>
      <c r="E424" t="str">
        <f ca="1">VLOOKUP(RANDBETWEEN(1,8),Tabla3[],2,FALSE)</f>
        <v>SSD</v>
      </c>
      <c r="F424" s="15">
        <f ca="1">VLOOKUP(RANDBETWEEN(1,12),Tabla4[],2,FALSE)</f>
        <v>599800</v>
      </c>
      <c r="G424" s="15">
        <f ca="1">Tabladatos[[#This Row],[Ingresos]]*VLOOKUP(RANDBETWEEN(1,10),Tabla5[],2,FALSE)</f>
        <v>119960</v>
      </c>
      <c r="H424" s="15">
        <f ca="1">Tabladatos[[#This Row],[Ingresos]]-Tabladatos[[#This Row],[Costos]]</f>
        <v>479840</v>
      </c>
    </row>
    <row r="425" spans="1:8" ht="22.5" customHeight="1" x14ac:dyDescent="0.25">
      <c r="A425" t="s">
        <v>17</v>
      </c>
      <c r="B425" t="str">
        <f ca="1">VLOOKUP(RANDBETWEEN(1,3),Tabla1[],2,FALSE)</f>
        <v xml:space="preserve">Sur </v>
      </c>
      <c r="C425">
        <v>2020</v>
      </c>
      <c r="D425" t="str">
        <f ca="1">VLOOKUP(RANDBETWEEN(1,4),Tabla2[],2,FALSE)</f>
        <v>1er Trimestre</v>
      </c>
      <c r="E425" t="str">
        <f ca="1">VLOOKUP(RANDBETWEEN(1,8),Tabla3[],2,FALSE)</f>
        <v>SSD</v>
      </c>
      <c r="F425" s="15">
        <f ca="1">VLOOKUP(RANDBETWEEN(1,12),Tabla4[],2,FALSE)</f>
        <v>490000</v>
      </c>
      <c r="G425" s="15">
        <f ca="1">Tabladatos[[#This Row],[Ingresos]]*VLOOKUP(RANDBETWEEN(1,10),Tabla5[],2,FALSE)</f>
        <v>49000</v>
      </c>
      <c r="H425" s="15">
        <f ca="1">Tabladatos[[#This Row],[Ingresos]]-Tabladatos[[#This Row],[Costos]]</f>
        <v>441000</v>
      </c>
    </row>
    <row r="426" spans="1:8" ht="22.5" customHeight="1" x14ac:dyDescent="0.25">
      <c r="A426" t="s">
        <v>17</v>
      </c>
      <c r="B426" t="str">
        <f ca="1">VLOOKUP(RANDBETWEEN(1,3),Tabla1[],2,FALSE)</f>
        <v xml:space="preserve">Sur </v>
      </c>
      <c r="C426">
        <v>2020</v>
      </c>
      <c r="D426" t="str">
        <f ca="1">VLOOKUP(RANDBETWEEN(1,4),Tabla2[],2,FALSE)</f>
        <v>1er Trimestre</v>
      </c>
      <c r="E426" t="str">
        <f ca="1">VLOOKUP(RANDBETWEEN(1,8),Tabla3[],2,FALSE)</f>
        <v>Computadoras</v>
      </c>
      <c r="F426" s="15">
        <f ca="1">VLOOKUP(RANDBETWEEN(1,12),Tabla4[],2,FALSE)</f>
        <v>27300</v>
      </c>
      <c r="G426" s="15">
        <f ca="1">Tabladatos[[#This Row],[Ingresos]]*VLOOKUP(RANDBETWEEN(1,10),Tabla5[],2,FALSE)</f>
        <v>5460</v>
      </c>
      <c r="H426" s="15">
        <f ca="1">Tabladatos[[#This Row],[Ingresos]]-Tabladatos[[#This Row],[Costos]]</f>
        <v>21840</v>
      </c>
    </row>
    <row r="427" spans="1:8" ht="22.5" customHeight="1" x14ac:dyDescent="0.25">
      <c r="A427" t="s">
        <v>17</v>
      </c>
      <c r="B427" t="str">
        <f ca="1">VLOOKUP(RANDBETWEEN(1,3),Tabla1[],2,FALSE)</f>
        <v>Norte</v>
      </c>
      <c r="C427">
        <v>2020</v>
      </c>
      <c r="D427" t="str">
        <f ca="1">VLOOKUP(RANDBETWEEN(1,4),Tabla2[],2,FALSE)</f>
        <v>3er Trimestre</v>
      </c>
      <c r="E427" t="str">
        <f ca="1">VLOOKUP(RANDBETWEEN(1,8),Tabla3[],2,FALSE)</f>
        <v>Escáners</v>
      </c>
      <c r="F427" s="15">
        <f ca="1">VLOOKUP(RANDBETWEEN(1,12),Tabla4[],2,FALSE)</f>
        <v>535990</v>
      </c>
      <c r="G427" s="15">
        <f ca="1">Tabladatos[[#This Row],[Ingresos]]*VLOOKUP(RANDBETWEEN(1,10),Tabla5[],2,FALSE)</f>
        <v>267995</v>
      </c>
      <c r="H427" s="15">
        <f ca="1">Tabladatos[[#This Row],[Ingresos]]-Tabladatos[[#This Row],[Costos]]</f>
        <v>267995</v>
      </c>
    </row>
    <row r="428" spans="1:8" ht="22.5" customHeight="1" x14ac:dyDescent="0.25">
      <c r="A428" t="s">
        <v>17</v>
      </c>
      <c r="B428" t="str">
        <f ca="1">VLOOKUP(RANDBETWEEN(1,3),Tabla1[],2,FALSE)</f>
        <v xml:space="preserve">Sur </v>
      </c>
      <c r="C428">
        <v>2020</v>
      </c>
      <c r="D428" t="str">
        <f ca="1">VLOOKUP(RANDBETWEEN(1,4),Tabla2[],2,FALSE)</f>
        <v>4to Trimestre</v>
      </c>
      <c r="E428" t="str">
        <f ca="1">VLOOKUP(RANDBETWEEN(1,8),Tabla3[],2,FALSE)</f>
        <v>Computadoras</v>
      </c>
      <c r="F428" s="15">
        <f ca="1">VLOOKUP(RANDBETWEEN(1,12),Tabla4[],2,FALSE)</f>
        <v>66150</v>
      </c>
      <c r="G428" s="15">
        <f ca="1">Tabladatos[[#This Row],[Ingresos]]*VLOOKUP(RANDBETWEEN(1,10),Tabla5[],2,FALSE)</f>
        <v>46305</v>
      </c>
      <c r="H428" s="15">
        <f ca="1">Tabladatos[[#This Row],[Ingresos]]-Tabladatos[[#This Row],[Costos]]</f>
        <v>19845</v>
      </c>
    </row>
    <row r="429" spans="1:8" ht="22.5" customHeight="1" x14ac:dyDescent="0.25">
      <c r="A429" t="s">
        <v>17</v>
      </c>
      <c r="B429" t="str">
        <f ca="1">VLOOKUP(RANDBETWEEN(1,3),Tabla1[],2,FALSE)</f>
        <v>Norte</v>
      </c>
      <c r="C429">
        <v>2020</v>
      </c>
      <c r="D429" t="str">
        <f ca="1">VLOOKUP(RANDBETWEEN(1,4),Tabla2[],2,FALSE)</f>
        <v>3er Trimestre</v>
      </c>
      <c r="E429" t="str">
        <f ca="1">VLOOKUP(RANDBETWEEN(1,8),Tabla3[],2,FALSE)</f>
        <v>Impresoras</v>
      </c>
      <c r="F429" s="15">
        <f ca="1">VLOOKUP(RANDBETWEEN(1,12),Tabla4[],2,FALSE)</f>
        <v>95945</v>
      </c>
      <c r="G429" s="15">
        <f ca="1">Tabladatos[[#This Row],[Ingresos]]*VLOOKUP(RANDBETWEEN(1,10),Tabla5[],2,FALSE)</f>
        <v>28783.5</v>
      </c>
      <c r="H429" s="15">
        <f ca="1">Tabladatos[[#This Row],[Ingresos]]-Tabladatos[[#This Row],[Costos]]</f>
        <v>67161.5</v>
      </c>
    </row>
    <row r="430" spans="1:8" ht="22.5" customHeight="1" x14ac:dyDescent="0.25">
      <c r="A430" t="s">
        <v>17</v>
      </c>
      <c r="B430" t="str">
        <f ca="1">VLOOKUP(RANDBETWEEN(1,3),Tabla1[],2,FALSE)</f>
        <v>Central</v>
      </c>
      <c r="C430">
        <v>2020</v>
      </c>
      <c r="D430" t="str">
        <f ca="1">VLOOKUP(RANDBETWEEN(1,4),Tabla2[],2,FALSE)</f>
        <v>1er Trimestre</v>
      </c>
      <c r="E430" t="str">
        <f ca="1">VLOOKUP(RANDBETWEEN(1,8),Tabla3[],2,FALSE)</f>
        <v>Monitores</v>
      </c>
      <c r="F430" s="15">
        <f ca="1">VLOOKUP(RANDBETWEEN(1,12),Tabla4[],2,FALSE)</f>
        <v>95945</v>
      </c>
      <c r="G430" s="15">
        <f ca="1">Tabladatos[[#This Row],[Ingresos]]*VLOOKUP(RANDBETWEEN(1,10),Tabla5[],2,FALSE)</f>
        <v>9594.5</v>
      </c>
      <c r="H430" s="15">
        <f ca="1">Tabladatos[[#This Row],[Ingresos]]-Tabladatos[[#This Row],[Costos]]</f>
        <v>86350.5</v>
      </c>
    </row>
    <row r="431" spans="1:8" ht="22.5" customHeight="1" x14ac:dyDescent="0.25">
      <c r="A431" t="s">
        <v>17</v>
      </c>
      <c r="B431" t="str">
        <f ca="1">VLOOKUP(RANDBETWEEN(1,3),Tabla1[],2,FALSE)</f>
        <v>Norte</v>
      </c>
      <c r="C431">
        <v>2020</v>
      </c>
      <c r="D431" t="str">
        <f ca="1">VLOOKUP(RANDBETWEEN(1,4),Tabla2[],2,FALSE)</f>
        <v>3er Trimestre</v>
      </c>
      <c r="E431" t="str">
        <f ca="1">VLOOKUP(RANDBETWEEN(1,8),Tabla3[],2,FALSE)</f>
        <v>Computadoras</v>
      </c>
      <c r="F431" s="15">
        <f ca="1">VLOOKUP(RANDBETWEEN(1,12),Tabla4[],2,FALSE)</f>
        <v>490000</v>
      </c>
      <c r="G431" s="15">
        <f ca="1">Tabladatos[[#This Row],[Ingresos]]*VLOOKUP(RANDBETWEEN(1,10),Tabla5[],2,FALSE)</f>
        <v>73500</v>
      </c>
      <c r="H431" s="15">
        <f ca="1">Tabladatos[[#This Row],[Ingresos]]-Tabladatos[[#This Row],[Costos]]</f>
        <v>416500</v>
      </c>
    </row>
    <row r="432" spans="1:8" ht="22.5" customHeight="1" x14ac:dyDescent="0.25">
      <c r="A432" t="s">
        <v>17</v>
      </c>
      <c r="B432" t="str">
        <f ca="1">VLOOKUP(RANDBETWEEN(1,3),Tabla1[],2,FALSE)</f>
        <v xml:space="preserve">Sur </v>
      </c>
      <c r="C432">
        <v>2020</v>
      </c>
      <c r="D432" t="str">
        <f ca="1">VLOOKUP(RANDBETWEEN(1,4),Tabla2[],2,FALSE)</f>
        <v>3er Trimestre</v>
      </c>
      <c r="E432" t="str">
        <f ca="1">VLOOKUP(RANDBETWEEN(1,8),Tabla3[],2,FALSE)</f>
        <v>Monitores</v>
      </c>
      <c r="F432" s="15">
        <f ca="1">VLOOKUP(RANDBETWEEN(1,12),Tabla4[],2,FALSE)</f>
        <v>490000</v>
      </c>
      <c r="G432" s="15">
        <f ca="1">Tabladatos[[#This Row],[Ingresos]]*VLOOKUP(RANDBETWEEN(1,10),Tabla5[],2,FALSE)</f>
        <v>122500</v>
      </c>
      <c r="H432" s="15">
        <f ca="1">Tabladatos[[#This Row],[Ingresos]]-Tabladatos[[#This Row],[Costos]]</f>
        <v>367500</v>
      </c>
    </row>
    <row r="433" spans="1:8" ht="22.5" customHeight="1" x14ac:dyDescent="0.25">
      <c r="A433" t="s">
        <v>17</v>
      </c>
      <c r="B433" t="str">
        <f ca="1">VLOOKUP(RANDBETWEEN(1,3),Tabla1[],2,FALSE)</f>
        <v>Norte</v>
      </c>
      <c r="C433">
        <v>2020</v>
      </c>
      <c r="D433" t="str">
        <f ca="1">VLOOKUP(RANDBETWEEN(1,4),Tabla2[],2,FALSE)</f>
        <v>4to Trimestre</v>
      </c>
      <c r="E433" t="str">
        <f ca="1">VLOOKUP(RANDBETWEEN(1,8),Tabla3[],2,FALSE)</f>
        <v>Escáners</v>
      </c>
      <c r="F433" s="15">
        <f ca="1">VLOOKUP(RANDBETWEEN(1,12),Tabla4[],2,FALSE)</f>
        <v>120460</v>
      </c>
      <c r="G433" s="15">
        <f ca="1">Tabladatos[[#This Row],[Ingresos]]*VLOOKUP(RANDBETWEEN(1,10),Tabla5[],2,FALSE)</f>
        <v>72276</v>
      </c>
      <c r="H433" s="15">
        <f ca="1">Tabladatos[[#This Row],[Ingresos]]-Tabladatos[[#This Row],[Costos]]</f>
        <v>48184</v>
      </c>
    </row>
    <row r="434" spans="1:8" ht="22.5" customHeight="1" x14ac:dyDescent="0.25">
      <c r="A434" t="s">
        <v>17</v>
      </c>
      <c r="B434" t="str">
        <f ca="1">VLOOKUP(RANDBETWEEN(1,3),Tabla1[],2,FALSE)</f>
        <v>Central</v>
      </c>
      <c r="C434">
        <v>2020</v>
      </c>
      <c r="D434" t="str">
        <f ca="1">VLOOKUP(RANDBETWEEN(1,4),Tabla2[],2,FALSE)</f>
        <v>3er Trimestre</v>
      </c>
      <c r="E434" t="str">
        <f ca="1">VLOOKUP(RANDBETWEEN(1,8),Tabla3[],2,FALSE)</f>
        <v>Memorias USB</v>
      </c>
      <c r="F434" s="15">
        <f ca="1">VLOOKUP(RANDBETWEEN(1,12),Tabla4[],2,FALSE)</f>
        <v>490000</v>
      </c>
      <c r="G434" s="15">
        <f ca="1">Tabladatos[[#This Row],[Ingresos]]*VLOOKUP(RANDBETWEEN(1,10),Tabla5[],2,FALSE)</f>
        <v>122500</v>
      </c>
      <c r="H434" s="15">
        <f ca="1">Tabladatos[[#This Row],[Ingresos]]-Tabladatos[[#This Row],[Costos]]</f>
        <v>367500</v>
      </c>
    </row>
    <row r="435" spans="1:8" ht="22.5" customHeight="1" x14ac:dyDescent="0.25">
      <c r="A435" t="s">
        <v>17</v>
      </c>
      <c r="B435" t="str">
        <f ca="1">VLOOKUP(RANDBETWEEN(1,3),Tabla1[],2,FALSE)</f>
        <v>Central</v>
      </c>
      <c r="C435">
        <v>2020</v>
      </c>
      <c r="D435" t="str">
        <f ca="1">VLOOKUP(RANDBETWEEN(1,4),Tabla2[],2,FALSE)</f>
        <v>2do Trimestre</v>
      </c>
      <c r="E435" t="str">
        <f ca="1">VLOOKUP(RANDBETWEEN(1,8),Tabla3[],2,FALSE)</f>
        <v>Impresoras</v>
      </c>
      <c r="F435" s="15">
        <f ca="1">VLOOKUP(RANDBETWEEN(1,12),Tabla4[],2,FALSE)</f>
        <v>300000</v>
      </c>
      <c r="G435" s="15">
        <f ca="1">Tabladatos[[#This Row],[Ingresos]]*VLOOKUP(RANDBETWEEN(1,10),Tabla5[],2,FALSE)</f>
        <v>90000</v>
      </c>
      <c r="H435" s="15">
        <f ca="1">Tabladatos[[#This Row],[Ingresos]]-Tabladatos[[#This Row],[Costos]]</f>
        <v>210000</v>
      </c>
    </row>
    <row r="436" spans="1:8" ht="22.5" customHeight="1" x14ac:dyDescent="0.25">
      <c r="A436" t="s">
        <v>17</v>
      </c>
      <c r="B436" t="str">
        <f ca="1">VLOOKUP(RANDBETWEEN(1,3),Tabla1[],2,FALSE)</f>
        <v>Norte</v>
      </c>
      <c r="C436">
        <v>2020</v>
      </c>
      <c r="D436" t="str">
        <f ca="1">VLOOKUP(RANDBETWEEN(1,4),Tabla2[],2,FALSE)</f>
        <v>1er Trimestre</v>
      </c>
      <c r="E436" t="str">
        <f ca="1">VLOOKUP(RANDBETWEEN(1,8),Tabla3[],2,FALSE)</f>
        <v>Computadoras</v>
      </c>
      <c r="F436" s="15">
        <f ca="1">VLOOKUP(RANDBETWEEN(1,12),Tabla4[],2,FALSE)</f>
        <v>535990</v>
      </c>
      <c r="G436" s="15">
        <f ca="1">Tabladatos[[#This Row],[Ingresos]]*VLOOKUP(RANDBETWEEN(1,10),Tabla5[],2,FALSE)</f>
        <v>80398.5</v>
      </c>
      <c r="H436" s="15">
        <f ca="1">Tabladatos[[#This Row],[Ingresos]]-Tabladatos[[#This Row],[Costos]]</f>
        <v>455591.5</v>
      </c>
    </row>
    <row r="437" spans="1:8" ht="22.5" customHeight="1" x14ac:dyDescent="0.25">
      <c r="A437" t="s">
        <v>17</v>
      </c>
      <c r="B437" t="str">
        <f ca="1">VLOOKUP(RANDBETWEEN(1,3),Tabla1[],2,FALSE)</f>
        <v xml:space="preserve">Sur </v>
      </c>
      <c r="C437">
        <v>2020</v>
      </c>
      <c r="D437" t="str">
        <f ca="1">VLOOKUP(RANDBETWEEN(1,4),Tabla2[],2,FALSE)</f>
        <v>2do Trimestre</v>
      </c>
      <c r="E437" t="str">
        <f ca="1">VLOOKUP(RANDBETWEEN(1,8),Tabla3[],2,FALSE)</f>
        <v>Impresoras</v>
      </c>
      <c r="F437" s="15">
        <f ca="1">VLOOKUP(RANDBETWEEN(1,12),Tabla4[],2,FALSE)</f>
        <v>27300</v>
      </c>
      <c r="G437" s="15">
        <f ca="1">Tabladatos[[#This Row],[Ingresos]]*VLOOKUP(RANDBETWEEN(1,10),Tabla5[],2,FALSE)</f>
        <v>13650</v>
      </c>
      <c r="H437" s="15">
        <f ca="1">Tabladatos[[#This Row],[Ingresos]]-Tabladatos[[#This Row],[Costos]]</f>
        <v>13650</v>
      </c>
    </row>
    <row r="438" spans="1:8" ht="22.5" customHeight="1" x14ac:dyDescent="0.25">
      <c r="A438" t="s">
        <v>17</v>
      </c>
      <c r="B438" t="str">
        <f ca="1">VLOOKUP(RANDBETWEEN(1,3),Tabla1[],2,FALSE)</f>
        <v>Central</v>
      </c>
      <c r="C438">
        <v>2020</v>
      </c>
      <c r="D438" t="str">
        <f ca="1">VLOOKUP(RANDBETWEEN(1,4),Tabla2[],2,FALSE)</f>
        <v>4to Trimestre</v>
      </c>
      <c r="E438" t="str">
        <f ca="1">VLOOKUP(RANDBETWEEN(1,8),Tabla3[],2,FALSE)</f>
        <v>Laptops</v>
      </c>
      <c r="F438" s="15">
        <f ca="1">VLOOKUP(RANDBETWEEN(1,12),Tabla4[],2,FALSE)</f>
        <v>415765</v>
      </c>
      <c r="G438" s="15">
        <f ca="1">Tabladatos[[#This Row],[Ingresos]]*VLOOKUP(RANDBETWEEN(1,10),Tabla5[],2,FALSE)</f>
        <v>207882.5</v>
      </c>
      <c r="H438" s="15">
        <f ca="1">Tabladatos[[#This Row],[Ingresos]]-Tabladatos[[#This Row],[Costos]]</f>
        <v>207882.5</v>
      </c>
    </row>
    <row r="439" spans="1:8" ht="22.5" customHeight="1" x14ac:dyDescent="0.25">
      <c r="A439" t="s">
        <v>17</v>
      </c>
      <c r="B439" t="str">
        <f ca="1">VLOOKUP(RANDBETWEEN(1,3),Tabla1[],2,FALSE)</f>
        <v>Norte</v>
      </c>
      <c r="C439">
        <v>2020</v>
      </c>
      <c r="D439" t="str">
        <f ca="1">VLOOKUP(RANDBETWEEN(1,4),Tabla2[],2,FALSE)</f>
        <v>4to Trimestre</v>
      </c>
      <c r="E439" t="str">
        <f ca="1">VLOOKUP(RANDBETWEEN(1,8),Tabla3[],2,FALSE)</f>
        <v>SSD</v>
      </c>
      <c r="F439" s="15">
        <f ca="1">VLOOKUP(RANDBETWEEN(1,12),Tabla4[],2,FALSE)</f>
        <v>300000</v>
      </c>
      <c r="G439" s="15">
        <f ca="1">Tabladatos[[#This Row],[Ingresos]]*VLOOKUP(RANDBETWEEN(1,10),Tabla5[],2,FALSE)</f>
        <v>45000</v>
      </c>
      <c r="H439" s="15">
        <f ca="1">Tabladatos[[#This Row],[Ingresos]]-Tabladatos[[#This Row],[Costos]]</f>
        <v>255000</v>
      </c>
    </row>
    <row r="440" spans="1:8" ht="22.5" customHeight="1" x14ac:dyDescent="0.25">
      <c r="A440" t="s">
        <v>17</v>
      </c>
      <c r="B440" t="str">
        <f ca="1">VLOOKUP(RANDBETWEEN(1,3),Tabla1[],2,FALSE)</f>
        <v>Norte</v>
      </c>
      <c r="C440">
        <v>2020</v>
      </c>
      <c r="D440" t="str">
        <f ca="1">VLOOKUP(RANDBETWEEN(1,4),Tabla2[],2,FALSE)</f>
        <v>2do Trimestre</v>
      </c>
      <c r="E440" t="str">
        <f ca="1">VLOOKUP(RANDBETWEEN(1,8),Tabla3[],2,FALSE)</f>
        <v>Memorias USB</v>
      </c>
      <c r="F440" s="15">
        <f ca="1">VLOOKUP(RANDBETWEEN(1,12),Tabla4[],2,FALSE)</f>
        <v>490000</v>
      </c>
      <c r="G440" s="15">
        <f ca="1">Tabladatos[[#This Row],[Ingresos]]*VLOOKUP(RANDBETWEEN(1,10),Tabla5[],2,FALSE)</f>
        <v>49000</v>
      </c>
      <c r="H440" s="15">
        <f ca="1">Tabladatos[[#This Row],[Ingresos]]-Tabladatos[[#This Row],[Costos]]</f>
        <v>441000</v>
      </c>
    </row>
    <row r="441" spans="1:8" ht="22.5" customHeight="1" x14ac:dyDescent="0.25">
      <c r="A441" t="s">
        <v>17</v>
      </c>
      <c r="B441" t="str">
        <f ca="1">VLOOKUP(RANDBETWEEN(1,3),Tabla1[],2,FALSE)</f>
        <v>Norte</v>
      </c>
      <c r="C441">
        <v>2020</v>
      </c>
      <c r="D441" t="str">
        <f ca="1">VLOOKUP(RANDBETWEEN(1,4),Tabla2[],2,FALSE)</f>
        <v>1er Trimestre</v>
      </c>
      <c r="E441" t="str">
        <f ca="1">VLOOKUP(RANDBETWEEN(1,8),Tabla3[],2,FALSE)</f>
        <v>Laptops</v>
      </c>
      <c r="F441" s="15">
        <f ca="1">VLOOKUP(RANDBETWEEN(1,12),Tabla4[],2,FALSE)</f>
        <v>120460</v>
      </c>
      <c r="G441" s="15">
        <f ca="1">Tabladatos[[#This Row],[Ingresos]]*VLOOKUP(RANDBETWEEN(1,10),Tabla5[],2,FALSE)</f>
        <v>12046</v>
      </c>
      <c r="H441" s="15">
        <f ca="1">Tabladatos[[#This Row],[Ingresos]]-Tabladatos[[#This Row],[Costos]]</f>
        <v>108414</v>
      </c>
    </row>
    <row r="442" spans="1:8" ht="22.5" customHeight="1" x14ac:dyDescent="0.25">
      <c r="A442" t="s">
        <v>17</v>
      </c>
      <c r="B442" t="str">
        <f ca="1">VLOOKUP(RANDBETWEEN(1,3),Tabla1[],2,FALSE)</f>
        <v>Central</v>
      </c>
      <c r="C442">
        <v>2020</v>
      </c>
      <c r="D442" t="str">
        <f ca="1">VLOOKUP(RANDBETWEEN(1,4),Tabla2[],2,FALSE)</f>
        <v>3er Trimestre</v>
      </c>
      <c r="E442" t="str">
        <f ca="1">VLOOKUP(RANDBETWEEN(1,8),Tabla3[],2,FALSE)</f>
        <v>Laptops</v>
      </c>
      <c r="F442" s="15">
        <f ca="1">VLOOKUP(RANDBETWEEN(1,12),Tabla4[],2,FALSE)</f>
        <v>599800</v>
      </c>
      <c r="G442" s="15">
        <f ca="1">Tabladatos[[#This Row],[Ingresos]]*VLOOKUP(RANDBETWEEN(1,10),Tabla5[],2,FALSE)</f>
        <v>359880</v>
      </c>
      <c r="H442" s="15">
        <f ca="1">Tabladatos[[#This Row],[Ingresos]]-Tabladatos[[#This Row],[Costos]]</f>
        <v>239920</v>
      </c>
    </row>
    <row r="443" spans="1:8" ht="22.5" customHeight="1" x14ac:dyDescent="0.25">
      <c r="A443" t="s">
        <v>17</v>
      </c>
      <c r="B443" t="str">
        <f ca="1">VLOOKUP(RANDBETWEEN(1,3),Tabla1[],2,FALSE)</f>
        <v>Norte</v>
      </c>
      <c r="C443">
        <v>2020</v>
      </c>
      <c r="D443" t="str">
        <f ca="1">VLOOKUP(RANDBETWEEN(1,4),Tabla2[],2,FALSE)</f>
        <v>4to Trimestre</v>
      </c>
      <c r="E443" t="str">
        <f ca="1">VLOOKUP(RANDBETWEEN(1,8),Tabla3[],2,FALSE)</f>
        <v>Tarjetas Wifi</v>
      </c>
      <c r="F443" s="15">
        <f ca="1">VLOOKUP(RANDBETWEEN(1,12),Tabla4[],2,FALSE)</f>
        <v>120460</v>
      </c>
      <c r="G443" s="15">
        <f ca="1">Tabladatos[[#This Row],[Ingresos]]*VLOOKUP(RANDBETWEEN(1,10),Tabla5[],2,FALSE)</f>
        <v>72276</v>
      </c>
      <c r="H443" s="15">
        <f ca="1">Tabladatos[[#This Row],[Ingresos]]-Tabladatos[[#This Row],[Costos]]</f>
        <v>48184</v>
      </c>
    </row>
    <row r="444" spans="1:8" ht="22.5" customHeight="1" x14ac:dyDescent="0.25">
      <c r="A444" t="s">
        <v>18</v>
      </c>
      <c r="B444" t="str">
        <f ca="1">VLOOKUP(RANDBETWEEN(1,3),Tabla1[],2,FALSE)</f>
        <v>Norte</v>
      </c>
      <c r="C444">
        <v>2020</v>
      </c>
      <c r="D444" t="str">
        <f ca="1">VLOOKUP(RANDBETWEEN(1,4),Tabla2[],2,FALSE)</f>
        <v>1er Trimestre</v>
      </c>
      <c r="E444" t="str">
        <f ca="1">VLOOKUP(RANDBETWEEN(1,8),Tabla3[],2,FALSE)</f>
        <v>Tarjetas Wifi</v>
      </c>
      <c r="F444" s="15">
        <f ca="1">VLOOKUP(RANDBETWEEN(1,12),Tabla4[],2,FALSE)</f>
        <v>120460</v>
      </c>
      <c r="G444" s="15">
        <f ca="1">Tabladatos[[#This Row],[Ingresos]]*VLOOKUP(RANDBETWEEN(1,10),Tabla5[],2,FALSE)</f>
        <v>30115</v>
      </c>
      <c r="H444" s="15">
        <f ca="1">Tabladatos[[#This Row],[Ingresos]]-Tabladatos[[#This Row],[Costos]]</f>
        <v>90345</v>
      </c>
    </row>
    <row r="445" spans="1:8" ht="22.5" customHeight="1" x14ac:dyDescent="0.25">
      <c r="A445" t="s">
        <v>18</v>
      </c>
      <c r="B445" t="str">
        <f ca="1">VLOOKUP(RANDBETWEEN(1,3),Tabla1[],2,FALSE)</f>
        <v xml:space="preserve">Sur </v>
      </c>
      <c r="C445">
        <v>2020</v>
      </c>
      <c r="D445" t="str">
        <f ca="1">VLOOKUP(RANDBETWEEN(1,4),Tabla2[],2,FALSE)</f>
        <v>1er Trimestre</v>
      </c>
      <c r="E445" t="str">
        <f ca="1">VLOOKUP(RANDBETWEEN(1,8),Tabla3[],2,FALSE)</f>
        <v>SSD</v>
      </c>
      <c r="F445" s="15">
        <f ca="1">VLOOKUP(RANDBETWEEN(1,12),Tabla4[],2,FALSE)</f>
        <v>300000</v>
      </c>
      <c r="G445" s="15">
        <f ca="1">Tabladatos[[#This Row],[Ingresos]]*VLOOKUP(RANDBETWEEN(1,10),Tabla5[],2,FALSE)</f>
        <v>180000</v>
      </c>
      <c r="H445" s="15">
        <f ca="1">Tabladatos[[#This Row],[Ingresos]]-Tabladatos[[#This Row],[Costos]]</f>
        <v>120000</v>
      </c>
    </row>
    <row r="446" spans="1:8" ht="22.5" customHeight="1" x14ac:dyDescent="0.25">
      <c r="A446" t="s">
        <v>18</v>
      </c>
      <c r="B446" t="str">
        <f ca="1">VLOOKUP(RANDBETWEEN(1,3),Tabla1[],2,FALSE)</f>
        <v>Norte</v>
      </c>
      <c r="C446">
        <v>2020</v>
      </c>
      <c r="D446" t="str">
        <f ca="1">VLOOKUP(RANDBETWEEN(1,4),Tabla2[],2,FALSE)</f>
        <v>4to Trimestre</v>
      </c>
      <c r="E446" t="str">
        <f ca="1">VLOOKUP(RANDBETWEEN(1,8),Tabla3[],2,FALSE)</f>
        <v>Memorias USB</v>
      </c>
      <c r="F446" s="15">
        <f ca="1">VLOOKUP(RANDBETWEEN(1,12),Tabla4[],2,FALSE)</f>
        <v>599800</v>
      </c>
      <c r="G446" s="15">
        <f ca="1">Tabladatos[[#This Row],[Ingresos]]*VLOOKUP(RANDBETWEEN(1,10),Tabla5[],2,FALSE)</f>
        <v>299900</v>
      </c>
      <c r="H446" s="15">
        <f ca="1">Tabladatos[[#This Row],[Ingresos]]-Tabladatos[[#This Row],[Costos]]</f>
        <v>299900</v>
      </c>
    </row>
    <row r="447" spans="1:8" ht="22.5" customHeight="1" x14ac:dyDescent="0.25">
      <c r="A447" t="s">
        <v>18</v>
      </c>
      <c r="B447" t="str">
        <f ca="1">VLOOKUP(RANDBETWEEN(1,3),Tabla1[],2,FALSE)</f>
        <v xml:space="preserve">Sur </v>
      </c>
      <c r="C447">
        <v>2020</v>
      </c>
      <c r="D447" t="str">
        <f ca="1">VLOOKUP(RANDBETWEEN(1,4),Tabla2[],2,FALSE)</f>
        <v>1er Trimestre</v>
      </c>
      <c r="E447" t="str">
        <f ca="1">VLOOKUP(RANDBETWEEN(1,8),Tabla3[],2,FALSE)</f>
        <v>SSD</v>
      </c>
      <c r="F447" s="15">
        <f ca="1">VLOOKUP(RANDBETWEEN(1,12),Tabla4[],2,FALSE)</f>
        <v>599800</v>
      </c>
      <c r="G447" s="15">
        <f ca="1">Tabladatos[[#This Row],[Ingresos]]*VLOOKUP(RANDBETWEEN(1,10),Tabla5[],2,FALSE)</f>
        <v>419860</v>
      </c>
      <c r="H447" s="15">
        <f ca="1">Tabladatos[[#This Row],[Ingresos]]-Tabladatos[[#This Row],[Costos]]</f>
        <v>179940</v>
      </c>
    </row>
    <row r="448" spans="1:8" ht="22.5" customHeight="1" x14ac:dyDescent="0.25">
      <c r="A448" t="s">
        <v>18</v>
      </c>
      <c r="B448" t="str">
        <f ca="1">VLOOKUP(RANDBETWEEN(1,3),Tabla1[],2,FALSE)</f>
        <v xml:space="preserve">Sur </v>
      </c>
      <c r="C448">
        <v>2020</v>
      </c>
      <c r="D448" t="str">
        <f ca="1">VLOOKUP(RANDBETWEEN(1,4),Tabla2[],2,FALSE)</f>
        <v>1er Trimestre</v>
      </c>
      <c r="E448" t="str">
        <f ca="1">VLOOKUP(RANDBETWEEN(1,8),Tabla3[],2,FALSE)</f>
        <v>Monitores</v>
      </c>
      <c r="F448" s="15">
        <f ca="1">VLOOKUP(RANDBETWEEN(1,12),Tabla4[],2,FALSE)</f>
        <v>66150</v>
      </c>
      <c r="G448" s="15">
        <f ca="1">Tabladatos[[#This Row],[Ingresos]]*VLOOKUP(RANDBETWEEN(1,10),Tabla5[],2,FALSE)</f>
        <v>46305</v>
      </c>
      <c r="H448" s="15">
        <f ca="1">Tabladatos[[#This Row],[Ingresos]]-Tabladatos[[#This Row],[Costos]]</f>
        <v>19845</v>
      </c>
    </row>
    <row r="449" spans="1:8" ht="22.5" customHeight="1" x14ac:dyDescent="0.25">
      <c r="A449" t="s">
        <v>18</v>
      </c>
      <c r="B449" t="str">
        <f ca="1">VLOOKUP(RANDBETWEEN(1,3),Tabla1[],2,FALSE)</f>
        <v>Central</v>
      </c>
      <c r="C449">
        <v>2020</v>
      </c>
      <c r="D449" t="str">
        <f ca="1">VLOOKUP(RANDBETWEEN(1,4),Tabla2[],2,FALSE)</f>
        <v>4to Trimestre</v>
      </c>
      <c r="E449" t="str">
        <f ca="1">VLOOKUP(RANDBETWEEN(1,8),Tabla3[],2,FALSE)</f>
        <v>Computadoras</v>
      </c>
      <c r="F449" s="15">
        <f ca="1">VLOOKUP(RANDBETWEEN(1,12),Tabla4[],2,FALSE)</f>
        <v>95945</v>
      </c>
      <c r="G449" s="15">
        <f ca="1">Tabladatos[[#This Row],[Ingresos]]*VLOOKUP(RANDBETWEEN(1,10),Tabla5[],2,FALSE)</f>
        <v>47972.5</v>
      </c>
      <c r="H449" s="15">
        <f ca="1">Tabladatos[[#This Row],[Ingresos]]-Tabladatos[[#This Row],[Costos]]</f>
        <v>47972.5</v>
      </c>
    </row>
    <row r="450" spans="1:8" ht="22.5" customHeight="1" x14ac:dyDescent="0.25">
      <c r="A450" t="s">
        <v>18</v>
      </c>
      <c r="B450" t="str">
        <f ca="1">VLOOKUP(RANDBETWEEN(1,3),Tabla1[],2,FALSE)</f>
        <v>Norte</v>
      </c>
      <c r="C450">
        <v>2020</v>
      </c>
      <c r="D450" t="str">
        <f ca="1">VLOOKUP(RANDBETWEEN(1,4),Tabla2[],2,FALSE)</f>
        <v>3er Trimestre</v>
      </c>
      <c r="E450" t="str">
        <f ca="1">VLOOKUP(RANDBETWEEN(1,8),Tabla3[],2,FALSE)</f>
        <v>Escáners</v>
      </c>
      <c r="F450" s="15">
        <f ca="1">VLOOKUP(RANDBETWEEN(1,12),Tabla4[],2,FALSE)</f>
        <v>120460</v>
      </c>
      <c r="G450" s="15">
        <f ca="1">Tabladatos[[#This Row],[Ingresos]]*VLOOKUP(RANDBETWEEN(1,10),Tabla5[],2,FALSE)</f>
        <v>30115</v>
      </c>
      <c r="H450" s="15">
        <f ca="1">Tabladatos[[#This Row],[Ingresos]]-Tabladatos[[#This Row],[Costos]]</f>
        <v>90345</v>
      </c>
    </row>
    <row r="451" spans="1:8" ht="22.5" customHeight="1" x14ac:dyDescent="0.25">
      <c r="A451" t="s">
        <v>18</v>
      </c>
      <c r="B451" t="str">
        <f ca="1">VLOOKUP(RANDBETWEEN(1,3),Tabla1[],2,FALSE)</f>
        <v>Central</v>
      </c>
      <c r="C451">
        <v>2020</v>
      </c>
      <c r="D451" t="str">
        <f ca="1">VLOOKUP(RANDBETWEEN(1,4),Tabla2[],2,FALSE)</f>
        <v>1er Trimestre</v>
      </c>
      <c r="E451" t="str">
        <f ca="1">VLOOKUP(RANDBETWEEN(1,8),Tabla3[],2,FALSE)</f>
        <v>Monitores</v>
      </c>
      <c r="F451" s="15">
        <f ca="1">VLOOKUP(RANDBETWEEN(1,12),Tabla4[],2,FALSE)</f>
        <v>300000</v>
      </c>
      <c r="G451" s="15">
        <f ca="1">Tabladatos[[#This Row],[Ingresos]]*VLOOKUP(RANDBETWEEN(1,10),Tabla5[],2,FALSE)</f>
        <v>150000</v>
      </c>
      <c r="H451" s="15">
        <f ca="1">Tabladatos[[#This Row],[Ingresos]]-Tabladatos[[#This Row],[Costos]]</f>
        <v>150000</v>
      </c>
    </row>
    <row r="452" spans="1:8" ht="22.5" customHeight="1" x14ac:dyDescent="0.25">
      <c r="A452" t="s">
        <v>18</v>
      </c>
      <c r="B452" t="str">
        <f ca="1">VLOOKUP(RANDBETWEEN(1,3),Tabla1[],2,FALSE)</f>
        <v>Central</v>
      </c>
      <c r="C452">
        <v>2020</v>
      </c>
      <c r="D452" t="str">
        <f ca="1">VLOOKUP(RANDBETWEEN(1,4),Tabla2[],2,FALSE)</f>
        <v>3er Trimestre</v>
      </c>
      <c r="E452" t="str">
        <f ca="1">VLOOKUP(RANDBETWEEN(1,8),Tabla3[],2,FALSE)</f>
        <v>Impresoras</v>
      </c>
      <c r="F452" s="15">
        <f ca="1">VLOOKUP(RANDBETWEEN(1,12),Tabla4[],2,FALSE)</f>
        <v>365285</v>
      </c>
      <c r="G452" s="15">
        <f ca="1">Tabladatos[[#This Row],[Ingresos]]*VLOOKUP(RANDBETWEEN(1,10),Tabla5[],2,FALSE)</f>
        <v>36528.5</v>
      </c>
      <c r="H452" s="15">
        <f ca="1">Tabladatos[[#This Row],[Ingresos]]-Tabladatos[[#This Row],[Costos]]</f>
        <v>328756.5</v>
      </c>
    </row>
    <row r="453" spans="1:8" ht="22.5" customHeight="1" x14ac:dyDescent="0.25">
      <c r="A453" t="s">
        <v>18</v>
      </c>
      <c r="B453" t="str">
        <f ca="1">VLOOKUP(RANDBETWEEN(1,3),Tabla1[],2,FALSE)</f>
        <v>Central</v>
      </c>
      <c r="C453">
        <v>2020</v>
      </c>
      <c r="D453" t="str">
        <f ca="1">VLOOKUP(RANDBETWEEN(1,4),Tabla2[],2,FALSE)</f>
        <v>4to Trimestre</v>
      </c>
      <c r="E453" t="str">
        <f ca="1">VLOOKUP(RANDBETWEEN(1,8),Tabla3[],2,FALSE)</f>
        <v>Tarjetas Wifi</v>
      </c>
      <c r="F453" s="15">
        <f ca="1">VLOOKUP(RANDBETWEEN(1,12),Tabla4[],2,FALSE)</f>
        <v>365285</v>
      </c>
      <c r="G453" s="15">
        <f ca="1">Tabladatos[[#This Row],[Ingresos]]*VLOOKUP(RANDBETWEEN(1,10),Tabla5[],2,FALSE)</f>
        <v>91321.25</v>
      </c>
      <c r="H453" s="15">
        <f ca="1">Tabladatos[[#This Row],[Ingresos]]-Tabladatos[[#This Row],[Costos]]</f>
        <v>273963.75</v>
      </c>
    </row>
    <row r="454" spans="1:8" ht="22.5" customHeight="1" x14ac:dyDescent="0.25">
      <c r="A454" t="s">
        <v>18</v>
      </c>
      <c r="B454" t="str">
        <f ca="1">VLOOKUP(RANDBETWEEN(1,3),Tabla1[],2,FALSE)</f>
        <v xml:space="preserve">Sur </v>
      </c>
      <c r="C454">
        <v>2020</v>
      </c>
      <c r="D454" t="str">
        <f ca="1">VLOOKUP(RANDBETWEEN(1,4),Tabla2[],2,FALSE)</f>
        <v>3er Trimestre</v>
      </c>
      <c r="E454" t="str">
        <f ca="1">VLOOKUP(RANDBETWEEN(1,8),Tabla3[],2,FALSE)</f>
        <v>Tarjetas Wifi</v>
      </c>
      <c r="F454" s="15">
        <f ca="1">VLOOKUP(RANDBETWEEN(1,12),Tabla4[],2,FALSE)</f>
        <v>599800</v>
      </c>
      <c r="G454" s="15">
        <f ca="1">Tabladatos[[#This Row],[Ingresos]]*VLOOKUP(RANDBETWEEN(1,10),Tabla5[],2,FALSE)</f>
        <v>59980</v>
      </c>
      <c r="H454" s="15">
        <f ca="1">Tabladatos[[#This Row],[Ingresos]]-Tabladatos[[#This Row],[Costos]]</f>
        <v>539820</v>
      </c>
    </row>
    <row r="455" spans="1:8" ht="22.5" customHeight="1" x14ac:dyDescent="0.25">
      <c r="A455" t="s">
        <v>18</v>
      </c>
      <c r="B455" t="str">
        <f ca="1">VLOOKUP(RANDBETWEEN(1,3),Tabla1[],2,FALSE)</f>
        <v>Norte</v>
      </c>
      <c r="C455">
        <v>2020</v>
      </c>
      <c r="D455" t="str">
        <f ca="1">VLOOKUP(RANDBETWEEN(1,4),Tabla2[],2,FALSE)</f>
        <v>1er Trimestre</v>
      </c>
      <c r="E455" t="str">
        <f ca="1">VLOOKUP(RANDBETWEEN(1,8),Tabla3[],2,FALSE)</f>
        <v>Monitores</v>
      </c>
      <c r="F455" s="15">
        <f ca="1">VLOOKUP(RANDBETWEEN(1,12),Tabla4[],2,FALSE)</f>
        <v>120460</v>
      </c>
      <c r="G455" s="15">
        <f ca="1">Tabladatos[[#This Row],[Ingresos]]*VLOOKUP(RANDBETWEEN(1,10),Tabla5[],2,FALSE)</f>
        <v>96368</v>
      </c>
      <c r="H455" s="15">
        <f ca="1">Tabladatos[[#This Row],[Ingresos]]-Tabladatos[[#This Row],[Costos]]</f>
        <v>24092</v>
      </c>
    </row>
    <row r="456" spans="1:8" ht="22.5" customHeight="1" x14ac:dyDescent="0.25">
      <c r="A456" t="s">
        <v>18</v>
      </c>
      <c r="B456" t="str">
        <f ca="1">VLOOKUP(RANDBETWEEN(1,3),Tabla1[],2,FALSE)</f>
        <v xml:space="preserve">Sur </v>
      </c>
      <c r="C456">
        <v>2020</v>
      </c>
      <c r="D456" t="str">
        <f ca="1">VLOOKUP(RANDBETWEEN(1,4),Tabla2[],2,FALSE)</f>
        <v>3er Trimestre</v>
      </c>
      <c r="E456" t="str">
        <f ca="1">VLOOKUP(RANDBETWEEN(1,8),Tabla3[],2,FALSE)</f>
        <v>Computadoras</v>
      </c>
      <c r="F456" s="15">
        <f ca="1">VLOOKUP(RANDBETWEEN(1,12),Tabla4[],2,FALSE)</f>
        <v>599800</v>
      </c>
      <c r="G456" s="15">
        <f ca="1">Tabladatos[[#This Row],[Ingresos]]*VLOOKUP(RANDBETWEEN(1,10),Tabla5[],2,FALSE)</f>
        <v>479840</v>
      </c>
      <c r="H456" s="15">
        <f ca="1">Tabladatos[[#This Row],[Ingresos]]-Tabladatos[[#This Row],[Costos]]</f>
        <v>119960</v>
      </c>
    </row>
    <row r="457" spans="1:8" ht="22.5" customHeight="1" x14ac:dyDescent="0.25">
      <c r="A457" t="s">
        <v>18</v>
      </c>
      <c r="B457" t="str">
        <f ca="1">VLOOKUP(RANDBETWEEN(1,3),Tabla1[],2,FALSE)</f>
        <v>Norte</v>
      </c>
      <c r="C457">
        <v>2020</v>
      </c>
      <c r="D457" t="str">
        <f ca="1">VLOOKUP(RANDBETWEEN(1,4),Tabla2[],2,FALSE)</f>
        <v>2do Trimestre</v>
      </c>
      <c r="E457" t="str">
        <f ca="1">VLOOKUP(RANDBETWEEN(1,8),Tabla3[],2,FALSE)</f>
        <v>SSD</v>
      </c>
      <c r="F457" s="15">
        <f ca="1">VLOOKUP(RANDBETWEEN(1,12),Tabla4[],2,FALSE)</f>
        <v>170000</v>
      </c>
      <c r="G457" s="15">
        <f ca="1">Tabladatos[[#This Row],[Ingresos]]*VLOOKUP(RANDBETWEEN(1,10),Tabla5[],2,FALSE)</f>
        <v>136000</v>
      </c>
      <c r="H457" s="15">
        <f ca="1">Tabladatos[[#This Row],[Ingresos]]-Tabladatos[[#This Row],[Costos]]</f>
        <v>34000</v>
      </c>
    </row>
    <row r="458" spans="1:8" ht="22.5" customHeight="1" x14ac:dyDescent="0.25">
      <c r="A458" t="s">
        <v>18</v>
      </c>
      <c r="B458" t="str">
        <f ca="1">VLOOKUP(RANDBETWEEN(1,3),Tabla1[],2,FALSE)</f>
        <v xml:space="preserve">Sur </v>
      </c>
      <c r="C458">
        <v>2020</v>
      </c>
      <c r="D458" t="str">
        <f ca="1">VLOOKUP(RANDBETWEEN(1,4),Tabla2[],2,FALSE)</f>
        <v>4to Trimestre</v>
      </c>
      <c r="E458" t="str">
        <f ca="1">VLOOKUP(RANDBETWEEN(1,8),Tabla3[],2,FALSE)</f>
        <v>Impresoras</v>
      </c>
      <c r="F458" s="15">
        <f ca="1">VLOOKUP(RANDBETWEEN(1,12),Tabla4[],2,FALSE)</f>
        <v>599800</v>
      </c>
      <c r="G458" s="15">
        <f ca="1">Tabladatos[[#This Row],[Ingresos]]*VLOOKUP(RANDBETWEEN(1,10),Tabla5[],2,FALSE)</f>
        <v>419860</v>
      </c>
      <c r="H458" s="15">
        <f ca="1">Tabladatos[[#This Row],[Ingresos]]-Tabladatos[[#This Row],[Costos]]</f>
        <v>179940</v>
      </c>
    </row>
    <row r="459" spans="1:8" ht="22.5" customHeight="1" x14ac:dyDescent="0.25">
      <c r="A459" t="s">
        <v>18</v>
      </c>
      <c r="B459" t="str">
        <f ca="1">VLOOKUP(RANDBETWEEN(1,3),Tabla1[],2,FALSE)</f>
        <v>Central</v>
      </c>
      <c r="C459">
        <v>2020</v>
      </c>
      <c r="D459" t="str">
        <f ca="1">VLOOKUP(RANDBETWEEN(1,4),Tabla2[],2,FALSE)</f>
        <v>4to Trimestre</v>
      </c>
      <c r="E459" t="str">
        <f ca="1">VLOOKUP(RANDBETWEEN(1,8),Tabla3[],2,FALSE)</f>
        <v>SSD</v>
      </c>
      <c r="F459" s="15">
        <f ca="1">VLOOKUP(RANDBETWEEN(1,12),Tabla4[],2,FALSE)</f>
        <v>27300</v>
      </c>
      <c r="G459" s="15">
        <f ca="1">Tabladatos[[#This Row],[Ingresos]]*VLOOKUP(RANDBETWEEN(1,10),Tabla5[],2,FALSE)</f>
        <v>19110</v>
      </c>
      <c r="H459" s="15">
        <f ca="1">Tabladatos[[#This Row],[Ingresos]]-Tabladatos[[#This Row],[Costos]]</f>
        <v>8190</v>
      </c>
    </row>
    <row r="460" spans="1:8" ht="22.5" customHeight="1" x14ac:dyDescent="0.25">
      <c r="A460" t="s">
        <v>18</v>
      </c>
      <c r="B460" t="str">
        <f ca="1">VLOOKUP(RANDBETWEEN(1,3),Tabla1[],2,FALSE)</f>
        <v xml:space="preserve">Sur </v>
      </c>
      <c r="C460">
        <v>2020</v>
      </c>
      <c r="D460" t="str">
        <f ca="1">VLOOKUP(RANDBETWEEN(1,4),Tabla2[],2,FALSE)</f>
        <v>4to Trimestre</v>
      </c>
      <c r="E460" t="str">
        <f ca="1">VLOOKUP(RANDBETWEEN(1,8),Tabla3[],2,FALSE)</f>
        <v>Impresoras</v>
      </c>
      <c r="F460" s="15">
        <f ca="1">VLOOKUP(RANDBETWEEN(1,12),Tabla4[],2,FALSE)</f>
        <v>599800</v>
      </c>
      <c r="G460" s="15">
        <f ca="1">Tabladatos[[#This Row],[Ingresos]]*VLOOKUP(RANDBETWEEN(1,10),Tabla5[],2,FALSE)</f>
        <v>299900</v>
      </c>
      <c r="H460" s="15">
        <f ca="1">Tabladatos[[#This Row],[Ingresos]]-Tabladatos[[#This Row],[Costos]]</f>
        <v>299900</v>
      </c>
    </row>
    <row r="461" spans="1:8" ht="22.5" customHeight="1" x14ac:dyDescent="0.25">
      <c r="A461" t="s">
        <v>18</v>
      </c>
      <c r="B461" t="str">
        <f ca="1">VLOOKUP(RANDBETWEEN(1,3),Tabla1[],2,FALSE)</f>
        <v xml:space="preserve">Sur </v>
      </c>
      <c r="C461">
        <v>2020</v>
      </c>
      <c r="D461" t="str">
        <f ca="1">VLOOKUP(RANDBETWEEN(1,4),Tabla2[],2,FALSE)</f>
        <v>1er Trimestre</v>
      </c>
      <c r="E461" t="str">
        <f ca="1">VLOOKUP(RANDBETWEEN(1,8),Tabla3[],2,FALSE)</f>
        <v>Laptops</v>
      </c>
      <c r="F461" s="15">
        <f ca="1">VLOOKUP(RANDBETWEEN(1,12),Tabla4[],2,FALSE)</f>
        <v>599800</v>
      </c>
      <c r="G461" s="15">
        <f ca="1">Tabladatos[[#This Row],[Ingresos]]*VLOOKUP(RANDBETWEEN(1,10),Tabla5[],2,FALSE)</f>
        <v>179940</v>
      </c>
      <c r="H461" s="15">
        <f ca="1">Tabladatos[[#This Row],[Ingresos]]-Tabladatos[[#This Row],[Costos]]</f>
        <v>419860</v>
      </c>
    </row>
    <row r="462" spans="1:8" ht="22.5" customHeight="1" x14ac:dyDescent="0.25">
      <c r="A462" t="s">
        <v>18</v>
      </c>
      <c r="B462" t="str">
        <f ca="1">VLOOKUP(RANDBETWEEN(1,3),Tabla1[],2,FALSE)</f>
        <v>Central</v>
      </c>
      <c r="C462">
        <v>2020</v>
      </c>
      <c r="D462" t="str">
        <f ca="1">VLOOKUP(RANDBETWEEN(1,4),Tabla2[],2,FALSE)</f>
        <v>1er Trimestre</v>
      </c>
      <c r="E462" t="str">
        <f ca="1">VLOOKUP(RANDBETWEEN(1,8),Tabla3[],2,FALSE)</f>
        <v>Monitores</v>
      </c>
      <c r="F462" s="15">
        <f ca="1">VLOOKUP(RANDBETWEEN(1,12),Tabla4[],2,FALSE)</f>
        <v>170000</v>
      </c>
      <c r="G462" s="15">
        <f ca="1">Tabladatos[[#This Row],[Ingresos]]*VLOOKUP(RANDBETWEEN(1,10),Tabla5[],2,FALSE)</f>
        <v>17000</v>
      </c>
      <c r="H462" s="15">
        <f ca="1">Tabladatos[[#This Row],[Ingresos]]-Tabladatos[[#This Row],[Costos]]</f>
        <v>153000</v>
      </c>
    </row>
    <row r="463" spans="1:8" ht="22.5" customHeight="1" x14ac:dyDescent="0.25">
      <c r="A463" t="s">
        <v>18</v>
      </c>
      <c r="B463" t="str">
        <f ca="1">VLOOKUP(RANDBETWEEN(1,3),Tabla1[],2,FALSE)</f>
        <v xml:space="preserve">Sur </v>
      </c>
      <c r="C463">
        <v>2020</v>
      </c>
      <c r="D463" t="str">
        <f ca="1">VLOOKUP(RANDBETWEEN(1,4),Tabla2[],2,FALSE)</f>
        <v>1er Trimestre</v>
      </c>
      <c r="E463" t="str">
        <f ca="1">VLOOKUP(RANDBETWEEN(1,8),Tabla3[],2,FALSE)</f>
        <v>Laptops</v>
      </c>
      <c r="F463" s="15">
        <f ca="1">VLOOKUP(RANDBETWEEN(1,12),Tabla4[],2,FALSE)</f>
        <v>228990</v>
      </c>
      <c r="G463" s="15">
        <f ca="1">Tabladatos[[#This Row],[Ingresos]]*VLOOKUP(RANDBETWEEN(1,10),Tabla5[],2,FALSE)</f>
        <v>68697</v>
      </c>
      <c r="H463" s="15">
        <f ca="1">Tabladatos[[#This Row],[Ingresos]]-Tabladatos[[#This Row],[Costos]]</f>
        <v>160293</v>
      </c>
    </row>
    <row r="464" spans="1:8" ht="22.5" customHeight="1" x14ac:dyDescent="0.25">
      <c r="A464" t="s">
        <v>18</v>
      </c>
      <c r="B464" t="str">
        <f ca="1">VLOOKUP(RANDBETWEEN(1,3),Tabla1[],2,FALSE)</f>
        <v>Norte</v>
      </c>
      <c r="C464">
        <v>2020</v>
      </c>
      <c r="D464" t="str">
        <f ca="1">VLOOKUP(RANDBETWEEN(1,4),Tabla2[],2,FALSE)</f>
        <v>3er Trimestre</v>
      </c>
      <c r="E464" t="str">
        <f ca="1">VLOOKUP(RANDBETWEEN(1,8),Tabla3[],2,FALSE)</f>
        <v>Escáners</v>
      </c>
      <c r="F464" s="15">
        <f ca="1">VLOOKUP(RANDBETWEEN(1,12),Tabla4[],2,FALSE)</f>
        <v>66150</v>
      </c>
      <c r="G464" s="15">
        <f ca="1">Tabladatos[[#This Row],[Ingresos]]*VLOOKUP(RANDBETWEEN(1,10),Tabla5[],2,FALSE)</f>
        <v>26460</v>
      </c>
      <c r="H464" s="15">
        <f ca="1">Tabladatos[[#This Row],[Ingresos]]-Tabladatos[[#This Row],[Costos]]</f>
        <v>39690</v>
      </c>
    </row>
    <row r="465" spans="1:8" ht="22.5" customHeight="1" x14ac:dyDescent="0.25">
      <c r="A465" t="s">
        <v>18</v>
      </c>
      <c r="B465" t="str">
        <f ca="1">VLOOKUP(RANDBETWEEN(1,3),Tabla1[],2,FALSE)</f>
        <v>Central</v>
      </c>
      <c r="C465">
        <v>2020</v>
      </c>
      <c r="D465" t="str">
        <f ca="1">VLOOKUP(RANDBETWEEN(1,4),Tabla2[],2,FALSE)</f>
        <v>1er Trimestre</v>
      </c>
      <c r="E465" t="str">
        <f ca="1">VLOOKUP(RANDBETWEEN(1,8),Tabla3[],2,FALSE)</f>
        <v>Tarjetas Wifi</v>
      </c>
      <c r="F465" s="15">
        <f ca="1">VLOOKUP(RANDBETWEEN(1,12),Tabla4[],2,FALSE)</f>
        <v>535990</v>
      </c>
      <c r="G465" s="15">
        <f ca="1">Tabladatos[[#This Row],[Ingresos]]*VLOOKUP(RANDBETWEEN(1,10),Tabla5[],2,FALSE)</f>
        <v>107198</v>
      </c>
      <c r="H465" s="15">
        <f ca="1">Tabladatos[[#This Row],[Ingresos]]-Tabladatos[[#This Row],[Costos]]</f>
        <v>428792</v>
      </c>
    </row>
    <row r="466" spans="1:8" ht="22.5" customHeight="1" x14ac:dyDescent="0.25">
      <c r="A466" t="s">
        <v>18</v>
      </c>
      <c r="B466" t="str">
        <f ca="1">VLOOKUP(RANDBETWEEN(1,3),Tabla1[],2,FALSE)</f>
        <v xml:space="preserve">Sur </v>
      </c>
      <c r="C466">
        <v>2020</v>
      </c>
      <c r="D466" t="str">
        <f ca="1">VLOOKUP(RANDBETWEEN(1,4),Tabla2[],2,FALSE)</f>
        <v>3er Trimestre</v>
      </c>
      <c r="E466" t="str">
        <f ca="1">VLOOKUP(RANDBETWEEN(1,8),Tabla3[],2,FALSE)</f>
        <v>Laptops</v>
      </c>
      <c r="F466" s="15">
        <f ca="1">VLOOKUP(RANDBETWEEN(1,12),Tabla4[],2,FALSE)</f>
        <v>599800</v>
      </c>
      <c r="G466" s="15">
        <f ca="1">Tabladatos[[#This Row],[Ingresos]]*VLOOKUP(RANDBETWEEN(1,10),Tabla5[],2,FALSE)</f>
        <v>359880</v>
      </c>
      <c r="H466" s="15">
        <f ca="1">Tabladatos[[#This Row],[Ingresos]]-Tabladatos[[#This Row],[Costos]]</f>
        <v>239920</v>
      </c>
    </row>
    <row r="467" spans="1:8" ht="22.5" customHeight="1" x14ac:dyDescent="0.25">
      <c r="A467" t="s">
        <v>18</v>
      </c>
      <c r="B467" t="str">
        <f ca="1">VLOOKUP(RANDBETWEEN(1,3),Tabla1[],2,FALSE)</f>
        <v>Central</v>
      </c>
      <c r="C467">
        <v>2020</v>
      </c>
      <c r="D467" t="str">
        <f ca="1">VLOOKUP(RANDBETWEEN(1,4),Tabla2[],2,FALSE)</f>
        <v>2do Trimestre</v>
      </c>
      <c r="E467" t="str">
        <f ca="1">VLOOKUP(RANDBETWEEN(1,8),Tabla3[],2,FALSE)</f>
        <v>Monitores</v>
      </c>
      <c r="F467" s="15">
        <f ca="1">VLOOKUP(RANDBETWEEN(1,12),Tabla4[],2,FALSE)</f>
        <v>95945</v>
      </c>
      <c r="G467" s="15">
        <f ca="1">Tabladatos[[#This Row],[Ingresos]]*VLOOKUP(RANDBETWEEN(1,10),Tabla5[],2,FALSE)</f>
        <v>76756</v>
      </c>
      <c r="H467" s="15">
        <f ca="1">Tabladatos[[#This Row],[Ingresos]]-Tabladatos[[#This Row],[Costos]]</f>
        <v>19189</v>
      </c>
    </row>
    <row r="468" spans="1:8" ht="22.5" customHeight="1" x14ac:dyDescent="0.25">
      <c r="A468" t="s">
        <v>18</v>
      </c>
      <c r="B468" t="str">
        <f ca="1">VLOOKUP(RANDBETWEEN(1,3),Tabla1[],2,FALSE)</f>
        <v>Norte</v>
      </c>
      <c r="C468">
        <v>2020</v>
      </c>
      <c r="D468" t="str">
        <f ca="1">VLOOKUP(RANDBETWEEN(1,4),Tabla2[],2,FALSE)</f>
        <v>1er Trimestre</v>
      </c>
      <c r="E468" t="str">
        <f ca="1">VLOOKUP(RANDBETWEEN(1,8),Tabla3[],2,FALSE)</f>
        <v>Computadoras</v>
      </c>
      <c r="F468" s="15">
        <f ca="1">VLOOKUP(RANDBETWEEN(1,12),Tabla4[],2,FALSE)</f>
        <v>365285</v>
      </c>
      <c r="G468" s="15">
        <f ca="1">Tabladatos[[#This Row],[Ingresos]]*VLOOKUP(RANDBETWEEN(1,10),Tabla5[],2,FALSE)</f>
        <v>73057</v>
      </c>
      <c r="H468" s="15">
        <f ca="1">Tabladatos[[#This Row],[Ingresos]]-Tabladatos[[#This Row],[Costos]]</f>
        <v>292228</v>
      </c>
    </row>
    <row r="469" spans="1:8" ht="22.5" customHeight="1" x14ac:dyDescent="0.25">
      <c r="A469" t="s">
        <v>18</v>
      </c>
      <c r="B469" t="str">
        <f ca="1">VLOOKUP(RANDBETWEEN(1,3),Tabla1[],2,FALSE)</f>
        <v>Norte</v>
      </c>
      <c r="C469">
        <v>2020</v>
      </c>
      <c r="D469" t="str">
        <f ca="1">VLOOKUP(RANDBETWEEN(1,4),Tabla2[],2,FALSE)</f>
        <v>2do Trimestre</v>
      </c>
      <c r="E469" t="str">
        <f ca="1">VLOOKUP(RANDBETWEEN(1,8),Tabla3[],2,FALSE)</f>
        <v>Escáners</v>
      </c>
      <c r="F469" s="15">
        <f ca="1">VLOOKUP(RANDBETWEEN(1,12),Tabla4[],2,FALSE)</f>
        <v>599800</v>
      </c>
      <c r="G469" s="15">
        <f ca="1">Tabladatos[[#This Row],[Ingresos]]*VLOOKUP(RANDBETWEEN(1,10),Tabla5[],2,FALSE)</f>
        <v>479840</v>
      </c>
      <c r="H469" s="15">
        <f ca="1">Tabladatos[[#This Row],[Ingresos]]-Tabladatos[[#This Row],[Costos]]</f>
        <v>119960</v>
      </c>
    </row>
    <row r="470" spans="1:8" ht="22.5" customHeight="1" x14ac:dyDescent="0.25">
      <c r="A470" t="s">
        <v>18</v>
      </c>
      <c r="B470" t="str">
        <f ca="1">VLOOKUP(RANDBETWEEN(1,3),Tabla1[],2,FALSE)</f>
        <v>Norte</v>
      </c>
      <c r="C470">
        <v>2020</v>
      </c>
      <c r="D470" t="str">
        <f ca="1">VLOOKUP(RANDBETWEEN(1,4),Tabla2[],2,FALSE)</f>
        <v>4to Trimestre</v>
      </c>
      <c r="E470" t="str">
        <f ca="1">VLOOKUP(RANDBETWEEN(1,8),Tabla3[],2,FALSE)</f>
        <v>Laptops</v>
      </c>
      <c r="F470" s="15">
        <f ca="1">VLOOKUP(RANDBETWEEN(1,12),Tabla4[],2,FALSE)</f>
        <v>27300</v>
      </c>
      <c r="G470" s="15">
        <f ca="1">Tabladatos[[#This Row],[Ingresos]]*VLOOKUP(RANDBETWEEN(1,10),Tabla5[],2,FALSE)</f>
        <v>5460</v>
      </c>
      <c r="H470" s="15">
        <f ca="1">Tabladatos[[#This Row],[Ingresos]]-Tabladatos[[#This Row],[Costos]]</f>
        <v>21840</v>
      </c>
    </row>
    <row r="471" spans="1:8" ht="22.5" customHeight="1" x14ac:dyDescent="0.25">
      <c r="A471" t="s">
        <v>18</v>
      </c>
      <c r="B471" t="str">
        <f ca="1">VLOOKUP(RANDBETWEEN(1,3),Tabla1[],2,FALSE)</f>
        <v>Norte</v>
      </c>
      <c r="C471">
        <v>2020</v>
      </c>
      <c r="D471" t="str">
        <f ca="1">VLOOKUP(RANDBETWEEN(1,4),Tabla2[],2,FALSE)</f>
        <v>2do Trimestre</v>
      </c>
      <c r="E471" t="str">
        <f ca="1">VLOOKUP(RANDBETWEEN(1,8),Tabla3[],2,FALSE)</f>
        <v>Tarjetas Wifi</v>
      </c>
      <c r="F471" s="15">
        <f ca="1">VLOOKUP(RANDBETWEEN(1,12),Tabla4[],2,FALSE)</f>
        <v>66150</v>
      </c>
      <c r="G471" s="15">
        <f ca="1">Tabladatos[[#This Row],[Ingresos]]*VLOOKUP(RANDBETWEEN(1,10),Tabla5[],2,FALSE)</f>
        <v>26460</v>
      </c>
      <c r="H471" s="15">
        <f ca="1">Tabladatos[[#This Row],[Ingresos]]-Tabladatos[[#This Row],[Costos]]</f>
        <v>39690</v>
      </c>
    </row>
    <row r="472" spans="1:8" ht="22.5" customHeight="1" x14ac:dyDescent="0.25">
      <c r="A472" t="s">
        <v>19</v>
      </c>
      <c r="B472" t="str">
        <f ca="1">VLOOKUP(RANDBETWEEN(1,3),Tabla1[],2,FALSE)</f>
        <v xml:space="preserve">Sur </v>
      </c>
      <c r="C472">
        <v>2020</v>
      </c>
      <c r="D472" t="str">
        <f ca="1">VLOOKUP(RANDBETWEEN(1,4),Tabla2[],2,FALSE)</f>
        <v>4to Trimestre</v>
      </c>
      <c r="E472" t="str">
        <f ca="1">VLOOKUP(RANDBETWEEN(1,8),Tabla3[],2,FALSE)</f>
        <v>Monitores</v>
      </c>
      <c r="F472" s="15">
        <f ca="1">VLOOKUP(RANDBETWEEN(1,12),Tabla4[],2,FALSE)</f>
        <v>170000</v>
      </c>
      <c r="G472" s="15">
        <f ca="1">Tabladatos[[#This Row],[Ingresos]]*VLOOKUP(RANDBETWEEN(1,10),Tabla5[],2,FALSE)</f>
        <v>85000</v>
      </c>
      <c r="H472" s="15">
        <f ca="1">Tabladatos[[#This Row],[Ingresos]]-Tabladatos[[#This Row],[Costos]]</f>
        <v>85000</v>
      </c>
    </row>
    <row r="473" spans="1:8" ht="22.5" customHeight="1" x14ac:dyDescent="0.25">
      <c r="A473" t="s">
        <v>19</v>
      </c>
      <c r="B473" t="str">
        <f ca="1">VLOOKUP(RANDBETWEEN(1,3),Tabla1[],2,FALSE)</f>
        <v xml:space="preserve">Sur </v>
      </c>
      <c r="C473">
        <v>2020</v>
      </c>
      <c r="D473" t="str">
        <f ca="1">VLOOKUP(RANDBETWEEN(1,4),Tabla2[],2,FALSE)</f>
        <v>1er Trimestre</v>
      </c>
      <c r="E473" t="str">
        <f ca="1">VLOOKUP(RANDBETWEEN(1,8),Tabla3[],2,FALSE)</f>
        <v>SSD</v>
      </c>
      <c r="F473" s="15">
        <f ca="1">VLOOKUP(RANDBETWEEN(1,12),Tabla4[],2,FALSE)</f>
        <v>120460</v>
      </c>
      <c r="G473" s="15">
        <f ca="1">Tabladatos[[#This Row],[Ingresos]]*VLOOKUP(RANDBETWEEN(1,10),Tabla5[],2,FALSE)</f>
        <v>30115</v>
      </c>
      <c r="H473" s="15">
        <f ca="1">Tabladatos[[#This Row],[Ingresos]]-Tabladatos[[#This Row],[Costos]]</f>
        <v>90345</v>
      </c>
    </row>
    <row r="474" spans="1:8" ht="22.5" customHeight="1" x14ac:dyDescent="0.25">
      <c r="A474" t="s">
        <v>19</v>
      </c>
      <c r="B474" t="str">
        <f ca="1">VLOOKUP(RANDBETWEEN(1,3),Tabla1[],2,FALSE)</f>
        <v>Norte</v>
      </c>
      <c r="C474">
        <v>2020</v>
      </c>
      <c r="D474" t="str">
        <f ca="1">VLOOKUP(RANDBETWEEN(1,4),Tabla2[],2,FALSE)</f>
        <v>1er Trimestre</v>
      </c>
      <c r="E474" t="str">
        <f ca="1">VLOOKUP(RANDBETWEEN(1,8),Tabla3[],2,FALSE)</f>
        <v>Impresoras</v>
      </c>
      <c r="F474" s="15">
        <f ca="1">VLOOKUP(RANDBETWEEN(1,12),Tabla4[],2,FALSE)</f>
        <v>66150</v>
      </c>
      <c r="G474" s="15">
        <f ca="1">Tabladatos[[#This Row],[Ingresos]]*VLOOKUP(RANDBETWEEN(1,10),Tabla5[],2,FALSE)</f>
        <v>6615</v>
      </c>
      <c r="H474" s="15">
        <f ca="1">Tabladatos[[#This Row],[Ingresos]]-Tabladatos[[#This Row],[Costos]]</f>
        <v>59535</v>
      </c>
    </row>
    <row r="475" spans="1:8" ht="22.5" customHeight="1" x14ac:dyDescent="0.25">
      <c r="A475" t="s">
        <v>19</v>
      </c>
      <c r="B475" t="str">
        <f ca="1">VLOOKUP(RANDBETWEEN(1,3),Tabla1[],2,FALSE)</f>
        <v xml:space="preserve">Sur </v>
      </c>
      <c r="C475">
        <v>2020</v>
      </c>
      <c r="D475" t="str">
        <f ca="1">VLOOKUP(RANDBETWEEN(1,4),Tabla2[],2,FALSE)</f>
        <v>1er Trimestre</v>
      </c>
      <c r="E475" t="str">
        <f ca="1">VLOOKUP(RANDBETWEEN(1,8),Tabla3[],2,FALSE)</f>
        <v>Escáners</v>
      </c>
      <c r="F475" s="15">
        <f ca="1">VLOOKUP(RANDBETWEEN(1,12),Tabla4[],2,FALSE)</f>
        <v>415765</v>
      </c>
      <c r="G475" s="15">
        <f ca="1">Tabladatos[[#This Row],[Ingresos]]*VLOOKUP(RANDBETWEEN(1,10),Tabla5[],2,FALSE)</f>
        <v>249459</v>
      </c>
      <c r="H475" s="15">
        <f ca="1">Tabladatos[[#This Row],[Ingresos]]-Tabladatos[[#This Row],[Costos]]</f>
        <v>166306</v>
      </c>
    </row>
    <row r="476" spans="1:8" ht="22.5" customHeight="1" x14ac:dyDescent="0.25">
      <c r="A476" t="s">
        <v>19</v>
      </c>
      <c r="B476" t="str">
        <f ca="1">VLOOKUP(RANDBETWEEN(1,3),Tabla1[],2,FALSE)</f>
        <v>Norte</v>
      </c>
      <c r="C476">
        <v>2020</v>
      </c>
      <c r="D476" t="str">
        <f ca="1">VLOOKUP(RANDBETWEEN(1,4),Tabla2[],2,FALSE)</f>
        <v>1er Trimestre</v>
      </c>
      <c r="E476" t="str">
        <f ca="1">VLOOKUP(RANDBETWEEN(1,8),Tabla3[],2,FALSE)</f>
        <v>Laptops</v>
      </c>
      <c r="F476" s="15">
        <f ca="1">VLOOKUP(RANDBETWEEN(1,12),Tabla4[],2,FALSE)</f>
        <v>66150</v>
      </c>
      <c r="G476" s="15">
        <f ca="1">Tabladatos[[#This Row],[Ingresos]]*VLOOKUP(RANDBETWEEN(1,10),Tabla5[],2,FALSE)</f>
        <v>19845</v>
      </c>
      <c r="H476" s="15">
        <f ca="1">Tabladatos[[#This Row],[Ingresos]]-Tabladatos[[#This Row],[Costos]]</f>
        <v>46305</v>
      </c>
    </row>
    <row r="477" spans="1:8" ht="22.5" customHeight="1" x14ac:dyDescent="0.25">
      <c r="A477" t="s">
        <v>19</v>
      </c>
      <c r="B477" t="str">
        <f ca="1">VLOOKUP(RANDBETWEEN(1,3),Tabla1[],2,FALSE)</f>
        <v>Central</v>
      </c>
      <c r="C477">
        <v>2020</v>
      </c>
      <c r="D477" t="str">
        <f ca="1">VLOOKUP(RANDBETWEEN(1,4),Tabla2[],2,FALSE)</f>
        <v>4to Trimestre</v>
      </c>
      <c r="E477" t="str">
        <f ca="1">VLOOKUP(RANDBETWEEN(1,8),Tabla3[],2,FALSE)</f>
        <v>Impresoras</v>
      </c>
      <c r="F477" s="15">
        <f ca="1">VLOOKUP(RANDBETWEEN(1,12),Tabla4[],2,FALSE)</f>
        <v>365285</v>
      </c>
      <c r="G477" s="15">
        <f ca="1">Tabladatos[[#This Row],[Ingresos]]*VLOOKUP(RANDBETWEEN(1,10),Tabla5[],2,FALSE)</f>
        <v>54792.75</v>
      </c>
      <c r="H477" s="15">
        <f ca="1">Tabladatos[[#This Row],[Ingresos]]-Tabladatos[[#This Row],[Costos]]</f>
        <v>310492.25</v>
      </c>
    </row>
    <row r="478" spans="1:8" ht="22.5" customHeight="1" x14ac:dyDescent="0.25">
      <c r="A478" t="s">
        <v>19</v>
      </c>
      <c r="B478" t="str">
        <f ca="1">VLOOKUP(RANDBETWEEN(1,3),Tabla1[],2,FALSE)</f>
        <v xml:space="preserve">Sur </v>
      </c>
      <c r="C478">
        <v>2020</v>
      </c>
      <c r="D478" t="str">
        <f ca="1">VLOOKUP(RANDBETWEEN(1,4),Tabla2[],2,FALSE)</f>
        <v>4to Trimestre</v>
      </c>
      <c r="E478" t="str">
        <f ca="1">VLOOKUP(RANDBETWEEN(1,8),Tabla3[],2,FALSE)</f>
        <v>Escáners</v>
      </c>
      <c r="F478" s="15">
        <f ca="1">VLOOKUP(RANDBETWEEN(1,12),Tabla4[],2,FALSE)</f>
        <v>415765</v>
      </c>
      <c r="G478" s="15">
        <f ca="1">Tabladatos[[#This Row],[Ingresos]]*VLOOKUP(RANDBETWEEN(1,10),Tabla5[],2,FALSE)</f>
        <v>62364.75</v>
      </c>
      <c r="H478" s="15">
        <f ca="1">Tabladatos[[#This Row],[Ingresos]]-Tabladatos[[#This Row],[Costos]]</f>
        <v>353400.25</v>
      </c>
    </row>
    <row r="479" spans="1:8" ht="22.5" customHeight="1" x14ac:dyDescent="0.25">
      <c r="A479" t="s">
        <v>19</v>
      </c>
      <c r="B479" t="str">
        <f ca="1">VLOOKUP(RANDBETWEEN(1,3),Tabla1[],2,FALSE)</f>
        <v>Norte</v>
      </c>
      <c r="C479">
        <v>2020</v>
      </c>
      <c r="D479" t="str">
        <f ca="1">VLOOKUP(RANDBETWEEN(1,4),Tabla2[],2,FALSE)</f>
        <v>2do Trimestre</v>
      </c>
      <c r="E479" t="str">
        <f ca="1">VLOOKUP(RANDBETWEEN(1,8),Tabla3[],2,FALSE)</f>
        <v>Memorias USB</v>
      </c>
      <c r="F479" s="15">
        <f ca="1">VLOOKUP(RANDBETWEEN(1,12),Tabla4[],2,FALSE)</f>
        <v>95945</v>
      </c>
      <c r="G479" s="15">
        <f ca="1">Tabladatos[[#This Row],[Ingresos]]*VLOOKUP(RANDBETWEEN(1,10),Tabla5[],2,FALSE)</f>
        <v>9594.5</v>
      </c>
      <c r="H479" s="15">
        <f ca="1">Tabladatos[[#This Row],[Ingresos]]-Tabladatos[[#This Row],[Costos]]</f>
        <v>86350.5</v>
      </c>
    </row>
    <row r="480" spans="1:8" ht="22.5" customHeight="1" x14ac:dyDescent="0.25">
      <c r="A480" t="s">
        <v>19</v>
      </c>
      <c r="B480" t="str">
        <f ca="1">VLOOKUP(RANDBETWEEN(1,3),Tabla1[],2,FALSE)</f>
        <v xml:space="preserve">Sur </v>
      </c>
      <c r="C480">
        <v>2020</v>
      </c>
      <c r="D480" t="str">
        <f ca="1">VLOOKUP(RANDBETWEEN(1,4),Tabla2[],2,FALSE)</f>
        <v>3er Trimestre</v>
      </c>
      <c r="E480" t="str">
        <f ca="1">VLOOKUP(RANDBETWEEN(1,8),Tabla3[],2,FALSE)</f>
        <v>Escáners</v>
      </c>
      <c r="F480" s="15">
        <f ca="1">VLOOKUP(RANDBETWEEN(1,12),Tabla4[],2,FALSE)</f>
        <v>415765</v>
      </c>
      <c r="G480" s="15">
        <f ca="1">Tabladatos[[#This Row],[Ingresos]]*VLOOKUP(RANDBETWEEN(1,10),Tabla5[],2,FALSE)</f>
        <v>124729.5</v>
      </c>
      <c r="H480" s="15">
        <f ca="1">Tabladatos[[#This Row],[Ingresos]]-Tabladatos[[#This Row],[Costos]]</f>
        <v>291035.5</v>
      </c>
    </row>
    <row r="481" spans="1:8" ht="22.5" customHeight="1" x14ac:dyDescent="0.25">
      <c r="A481" t="s">
        <v>19</v>
      </c>
      <c r="B481" t="str">
        <f ca="1">VLOOKUP(RANDBETWEEN(1,3),Tabla1[],2,FALSE)</f>
        <v>Central</v>
      </c>
      <c r="C481">
        <v>2020</v>
      </c>
      <c r="D481" t="str">
        <f ca="1">VLOOKUP(RANDBETWEEN(1,4),Tabla2[],2,FALSE)</f>
        <v>2do Trimestre</v>
      </c>
      <c r="E481" t="str">
        <f ca="1">VLOOKUP(RANDBETWEEN(1,8),Tabla3[],2,FALSE)</f>
        <v>Laptops</v>
      </c>
      <c r="F481" s="15">
        <f ca="1">VLOOKUP(RANDBETWEEN(1,12),Tabla4[],2,FALSE)</f>
        <v>535990</v>
      </c>
      <c r="G481" s="15">
        <f ca="1">Tabladatos[[#This Row],[Ingresos]]*VLOOKUP(RANDBETWEEN(1,10),Tabla5[],2,FALSE)</f>
        <v>107198</v>
      </c>
      <c r="H481" s="15">
        <f ca="1">Tabladatos[[#This Row],[Ingresos]]-Tabladatos[[#This Row],[Costos]]</f>
        <v>428792</v>
      </c>
    </row>
    <row r="482" spans="1:8" ht="22.5" customHeight="1" x14ac:dyDescent="0.25">
      <c r="A482" t="s">
        <v>19</v>
      </c>
      <c r="B482" t="str">
        <f ca="1">VLOOKUP(RANDBETWEEN(1,3),Tabla1[],2,FALSE)</f>
        <v>Central</v>
      </c>
      <c r="C482">
        <v>2020</v>
      </c>
      <c r="D482" t="str">
        <f ca="1">VLOOKUP(RANDBETWEEN(1,4),Tabla2[],2,FALSE)</f>
        <v>1er Trimestre</v>
      </c>
      <c r="E482" t="str">
        <f ca="1">VLOOKUP(RANDBETWEEN(1,8),Tabla3[],2,FALSE)</f>
        <v>Laptops</v>
      </c>
      <c r="F482" s="15">
        <f ca="1">VLOOKUP(RANDBETWEEN(1,12),Tabla4[],2,FALSE)</f>
        <v>490000</v>
      </c>
      <c r="G482" s="15">
        <f ca="1">Tabladatos[[#This Row],[Ingresos]]*VLOOKUP(RANDBETWEEN(1,10),Tabla5[],2,FALSE)</f>
        <v>122500</v>
      </c>
      <c r="H482" s="15">
        <f ca="1">Tabladatos[[#This Row],[Ingresos]]-Tabladatos[[#This Row],[Costos]]</f>
        <v>367500</v>
      </c>
    </row>
    <row r="483" spans="1:8" ht="22.5" customHeight="1" x14ac:dyDescent="0.25">
      <c r="A483" t="s">
        <v>19</v>
      </c>
      <c r="B483" t="str">
        <f ca="1">VLOOKUP(RANDBETWEEN(1,3),Tabla1[],2,FALSE)</f>
        <v>Norte</v>
      </c>
      <c r="C483">
        <v>2020</v>
      </c>
      <c r="D483" t="str">
        <f ca="1">VLOOKUP(RANDBETWEEN(1,4),Tabla2[],2,FALSE)</f>
        <v>3er Trimestre</v>
      </c>
      <c r="E483" t="str">
        <f ca="1">VLOOKUP(RANDBETWEEN(1,8),Tabla3[],2,FALSE)</f>
        <v>Impresoras</v>
      </c>
      <c r="F483" s="15">
        <f ca="1">VLOOKUP(RANDBETWEEN(1,12),Tabla4[],2,FALSE)</f>
        <v>228990</v>
      </c>
      <c r="G483" s="15">
        <f ca="1">Tabladatos[[#This Row],[Ingresos]]*VLOOKUP(RANDBETWEEN(1,10),Tabla5[],2,FALSE)</f>
        <v>114495</v>
      </c>
      <c r="H483" s="15">
        <f ca="1">Tabladatos[[#This Row],[Ingresos]]-Tabladatos[[#This Row],[Costos]]</f>
        <v>114495</v>
      </c>
    </row>
    <row r="484" spans="1:8" ht="22.5" customHeight="1" x14ac:dyDescent="0.25">
      <c r="A484" t="s">
        <v>19</v>
      </c>
      <c r="B484" t="str">
        <f ca="1">VLOOKUP(RANDBETWEEN(1,3),Tabla1[],2,FALSE)</f>
        <v>Norte</v>
      </c>
      <c r="C484">
        <v>2020</v>
      </c>
      <c r="D484" t="str">
        <f ca="1">VLOOKUP(RANDBETWEEN(1,4),Tabla2[],2,FALSE)</f>
        <v>1er Trimestre</v>
      </c>
      <c r="E484" t="str">
        <f ca="1">VLOOKUP(RANDBETWEEN(1,8),Tabla3[],2,FALSE)</f>
        <v>Impresoras</v>
      </c>
      <c r="F484" s="15">
        <f ca="1">VLOOKUP(RANDBETWEEN(1,12),Tabla4[],2,FALSE)</f>
        <v>170000</v>
      </c>
      <c r="G484" s="15">
        <f ca="1">Tabladatos[[#This Row],[Ingresos]]*VLOOKUP(RANDBETWEEN(1,10),Tabla5[],2,FALSE)</f>
        <v>25500</v>
      </c>
      <c r="H484" s="15">
        <f ca="1">Tabladatos[[#This Row],[Ingresos]]-Tabladatos[[#This Row],[Costos]]</f>
        <v>144500</v>
      </c>
    </row>
    <row r="485" spans="1:8" ht="22.5" customHeight="1" x14ac:dyDescent="0.25">
      <c r="A485" t="s">
        <v>19</v>
      </c>
      <c r="B485" t="str">
        <f ca="1">VLOOKUP(RANDBETWEEN(1,3),Tabla1[],2,FALSE)</f>
        <v>Central</v>
      </c>
      <c r="C485">
        <v>2020</v>
      </c>
      <c r="D485" t="str">
        <f ca="1">VLOOKUP(RANDBETWEEN(1,4),Tabla2[],2,FALSE)</f>
        <v>2do Trimestre</v>
      </c>
      <c r="E485" t="str">
        <f ca="1">VLOOKUP(RANDBETWEEN(1,8),Tabla3[],2,FALSE)</f>
        <v>SSD</v>
      </c>
      <c r="F485" s="15">
        <f ca="1">VLOOKUP(RANDBETWEEN(1,12),Tabla4[],2,FALSE)</f>
        <v>599800</v>
      </c>
      <c r="G485" s="15">
        <f ca="1">Tabladatos[[#This Row],[Ingresos]]*VLOOKUP(RANDBETWEEN(1,10),Tabla5[],2,FALSE)</f>
        <v>59980</v>
      </c>
      <c r="H485" s="15">
        <f ca="1">Tabladatos[[#This Row],[Ingresos]]-Tabladatos[[#This Row],[Costos]]</f>
        <v>539820</v>
      </c>
    </row>
    <row r="486" spans="1:8" ht="22.5" customHeight="1" x14ac:dyDescent="0.25">
      <c r="A486" t="s">
        <v>19</v>
      </c>
      <c r="B486" t="str">
        <f ca="1">VLOOKUP(RANDBETWEEN(1,3),Tabla1[],2,FALSE)</f>
        <v xml:space="preserve">Sur </v>
      </c>
      <c r="C486">
        <v>2020</v>
      </c>
      <c r="D486" t="str">
        <f ca="1">VLOOKUP(RANDBETWEEN(1,4),Tabla2[],2,FALSE)</f>
        <v>2do Trimestre</v>
      </c>
      <c r="E486" t="str">
        <f ca="1">VLOOKUP(RANDBETWEEN(1,8),Tabla3[],2,FALSE)</f>
        <v>Computadoras</v>
      </c>
      <c r="F486" s="15">
        <f ca="1">VLOOKUP(RANDBETWEEN(1,12),Tabla4[],2,FALSE)</f>
        <v>228990</v>
      </c>
      <c r="G486" s="15">
        <f ca="1">Tabladatos[[#This Row],[Ingresos]]*VLOOKUP(RANDBETWEEN(1,10),Tabla5[],2,FALSE)</f>
        <v>68697</v>
      </c>
      <c r="H486" s="15">
        <f ca="1">Tabladatos[[#This Row],[Ingresos]]-Tabladatos[[#This Row],[Costos]]</f>
        <v>160293</v>
      </c>
    </row>
    <row r="487" spans="1:8" ht="22.5" customHeight="1" x14ac:dyDescent="0.25">
      <c r="A487" t="s">
        <v>19</v>
      </c>
      <c r="B487" t="str">
        <f ca="1">VLOOKUP(RANDBETWEEN(1,3),Tabla1[],2,FALSE)</f>
        <v>Central</v>
      </c>
      <c r="C487">
        <v>2020</v>
      </c>
      <c r="D487" t="str">
        <f ca="1">VLOOKUP(RANDBETWEEN(1,4),Tabla2[],2,FALSE)</f>
        <v>4to Trimestre</v>
      </c>
      <c r="E487" t="str">
        <f ca="1">VLOOKUP(RANDBETWEEN(1,8),Tabla3[],2,FALSE)</f>
        <v>Monitores</v>
      </c>
      <c r="F487" s="15">
        <f ca="1">VLOOKUP(RANDBETWEEN(1,12),Tabla4[],2,FALSE)</f>
        <v>490000</v>
      </c>
      <c r="G487" s="15">
        <f ca="1">Tabladatos[[#This Row],[Ingresos]]*VLOOKUP(RANDBETWEEN(1,10),Tabla5[],2,FALSE)</f>
        <v>49000</v>
      </c>
      <c r="H487" s="15">
        <f ca="1">Tabladatos[[#This Row],[Ingresos]]-Tabladatos[[#This Row],[Costos]]</f>
        <v>441000</v>
      </c>
    </row>
    <row r="488" spans="1:8" ht="22.5" customHeight="1" x14ac:dyDescent="0.25">
      <c r="A488" t="s">
        <v>19</v>
      </c>
      <c r="B488" t="str">
        <f ca="1">VLOOKUP(RANDBETWEEN(1,3),Tabla1[],2,FALSE)</f>
        <v xml:space="preserve">Sur </v>
      </c>
      <c r="C488">
        <v>2020</v>
      </c>
      <c r="D488" t="str">
        <f ca="1">VLOOKUP(RANDBETWEEN(1,4),Tabla2[],2,FALSE)</f>
        <v>2do Trimestre</v>
      </c>
      <c r="E488" t="str">
        <f ca="1">VLOOKUP(RANDBETWEEN(1,8),Tabla3[],2,FALSE)</f>
        <v>Impresoras</v>
      </c>
      <c r="F488" s="15">
        <f ca="1">VLOOKUP(RANDBETWEEN(1,12),Tabla4[],2,FALSE)</f>
        <v>27300</v>
      </c>
      <c r="G488" s="15">
        <f ca="1">Tabladatos[[#This Row],[Ingresos]]*VLOOKUP(RANDBETWEEN(1,10),Tabla5[],2,FALSE)</f>
        <v>16380</v>
      </c>
      <c r="H488" s="15">
        <f ca="1">Tabladatos[[#This Row],[Ingresos]]-Tabladatos[[#This Row],[Costos]]</f>
        <v>10920</v>
      </c>
    </row>
    <row r="489" spans="1:8" ht="22.5" customHeight="1" x14ac:dyDescent="0.25">
      <c r="A489" t="s">
        <v>19</v>
      </c>
      <c r="B489" t="str">
        <f ca="1">VLOOKUP(RANDBETWEEN(1,3),Tabla1[],2,FALSE)</f>
        <v>Central</v>
      </c>
      <c r="C489">
        <v>2020</v>
      </c>
      <c r="D489" t="str">
        <f ca="1">VLOOKUP(RANDBETWEEN(1,4),Tabla2[],2,FALSE)</f>
        <v>4to Trimestre</v>
      </c>
      <c r="E489" t="str">
        <f ca="1">VLOOKUP(RANDBETWEEN(1,8),Tabla3[],2,FALSE)</f>
        <v>Tarjetas Wifi</v>
      </c>
      <c r="F489" s="15">
        <f ca="1">VLOOKUP(RANDBETWEEN(1,12),Tabla4[],2,FALSE)</f>
        <v>120460</v>
      </c>
      <c r="G489" s="15">
        <f ca="1">Tabladatos[[#This Row],[Ingresos]]*VLOOKUP(RANDBETWEEN(1,10),Tabla5[],2,FALSE)</f>
        <v>60230</v>
      </c>
      <c r="H489" s="15">
        <f ca="1">Tabladatos[[#This Row],[Ingresos]]-Tabladatos[[#This Row],[Costos]]</f>
        <v>60230</v>
      </c>
    </row>
    <row r="490" spans="1:8" ht="22.5" customHeight="1" x14ac:dyDescent="0.25">
      <c r="A490" t="s">
        <v>19</v>
      </c>
      <c r="B490" t="str">
        <f ca="1">VLOOKUP(RANDBETWEEN(1,3),Tabla1[],2,FALSE)</f>
        <v>Norte</v>
      </c>
      <c r="C490">
        <v>2020</v>
      </c>
      <c r="D490" t="str">
        <f ca="1">VLOOKUP(RANDBETWEEN(1,4),Tabla2[],2,FALSE)</f>
        <v>2do Trimestre</v>
      </c>
      <c r="E490" t="str">
        <f ca="1">VLOOKUP(RANDBETWEEN(1,8),Tabla3[],2,FALSE)</f>
        <v>Monitores</v>
      </c>
      <c r="F490" s="15">
        <f ca="1">VLOOKUP(RANDBETWEEN(1,12),Tabla4[],2,FALSE)</f>
        <v>365285</v>
      </c>
      <c r="G490" s="15">
        <f ca="1">Tabladatos[[#This Row],[Ingresos]]*VLOOKUP(RANDBETWEEN(1,10),Tabla5[],2,FALSE)</f>
        <v>54792.75</v>
      </c>
      <c r="H490" s="15">
        <f ca="1">Tabladatos[[#This Row],[Ingresos]]-Tabladatos[[#This Row],[Costos]]</f>
        <v>310492.25</v>
      </c>
    </row>
    <row r="491" spans="1:8" ht="22.5" customHeight="1" x14ac:dyDescent="0.25">
      <c r="A491" t="s">
        <v>19</v>
      </c>
      <c r="B491" t="str">
        <f ca="1">VLOOKUP(RANDBETWEEN(1,3),Tabla1[],2,FALSE)</f>
        <v xml:space="preserve">Sur </v>
      </c>
      <c r="C491">
        <v>2020</v>
      </c>
      <c r="D491" t="str">
        <f ca="1">VLOOKUP(RANDBETWEEN(1,4),Tabla2[],2,FALSE)</f>
        <v>2do Trimestre</v>
      </c>
      <c r="E491" t="str">
        <f ca="1">VLOOKUP(RANDBETWEEN(1,8),Tabla3[],2,FALSE)</f>
        <v>Tarjetas Wifi</v>
      </c>
      <c r="F491" s="15">
        <f ca="1">VLOOKUP(RANDBETWEEN(1,12),Tabla4[],2,FALSE)</f>
        <v>27300</v>
      </c>
      <c r="G491" s="15">
        <f ca="1">Tabladatos[[#This Row],[Ingresos]]*VLOOKUP(RANDBETWEEN(1,10),Tabla5[],2,FALSE)</f>
        <v>19110</v>
      </c>
      <c r="H491" s="15">
        <f ca="1">Tabladatos[[#This Row],[Ingresos]]-Tabladatos[[#This Row],[Costos]]</f>
        <v>8190</v>
      </c>
    </row>
    <row r="492" spans="1:8" ht="22.5" customHeight="1" x14ac:dyDescent="0.25">
      <c r="A492" t="s">
        <v>19</v>
      </c>
      <c r="B492" t="str">
        <f ca="1">VLOOKUP(RANDBETWEEN(1,3),Tabla1[],2,FALSE)</f>
        <v xml:space="preserve">Sur </v>
      </c>
      <c r="C492">
        <v>2020</v>
      </c>
      <c r="D492" t="str">
        <f ca="1">VLOOKUP(RANDBETWEEN(1,4),Tabla2[],2,FALSE)</f>
        <v>1er Trimestre</v>
      </c>
      <c r="E492" t="str">
        <f ca="1">VLOOKUP(RANDBETWEEN(1,8),Tabla3[],2,FALSE)</f>
        <v>SSD</v>
      </c>
      <c r="F492" s="15">
        <f ca="1">VLOOKUP(RANDBETWEEN(1,12),Tabla4[],2,FALSE)</f>
        <v>27300</v>
      </c>
      <c r="G492" s="15">
        <f ca="1">Tabladatos[[#This Row],[Ingresos]]*VLOOKUP(RANDBETWEEN(1,10),Tabla5[],2,FALSE)</f>
        <v>21840</v>
      </c>
      <c r="H492" s="15">
        <f ca="1">Tabladatos[[#This Row],[Ingresos]]-Tabladatos[[#This Row],[Costos]]</f>
        <v>5460</v>
      </c>
    </row>
    <row r="493" spans="1:8" ht="22.5" customHeight="1" x14ac:dyDescent="0.25">
      <c r="A493" t="s">
        <v>19</v>
      </c>
      <c r="B493" t="str">
        <f ca="1">VLOOKUP(RANDBETWEEN(1,3),Tabla1[],2,FALSE)</f>
        <v xml:space="preserve">Sur </v>
      </c>
      <c r="C493">
        <v>2020</v>
      </c>
      <c r="D493" t="str">
        <f ca="1">VLOOKUP(RANDBETWEEN(1,4),Tabla2[],2,FALSE)</f>
        <v>3er Trimestre</v>
      </c>
      <c r="E493" t="str">
        <f ca="1">VLOOKUP(RANDBETWEEN(1,8),Tabla3[],2,FALSE)</f>
        <v>Impresoras</v>
      </c>
      <c r="F493" s="15">
        <f ca="1">VLOOKUP(RANDBETWEEN(1,12),Tabla4[],2,FALSE)</f>
        <v>535990</v>
      </c>
      <c r="G493" s="15">
        <f ca="1">Tabladatos[[#This Row],[Ingresos]]*VLOOKUP(RANDBETWEEN(1,10),Tabla5[],2,FALSE)</f>
        <v>375193</v>
      </c>
      <c r="H493" s="15">
        <f ca="1">Tabladatos[[#This Row],[Ingresos]]-Tabladatos[[#This Row],[Costos]]</f>
        <v>160797</v>
      </c>
    </row>
    <row r="494" spans="1:8" ht="22.5" customHeight="1" x14ac:dyDescent="0.25">
      <c r="A494" t="s">
        <v>19</v>
      </c>
      <c r="B494" t="str">
        <f ca="1">VLOOKUP(RANDBETWEEN(1,3),Tabla1[],2,FALSE)</f>
        <v xml:space="preserve">Sur </v>
      </c>
      <c r="C494">
        <v>2020</v>
      </c>
      <c r="D494" t="str">
        <f ca="1">VLOOKUP(RANDBETWEEN(1,4),Tabla2[],2,FALSE)</f>
        <v>2do Trimestre</v>
      </c>
      <c r="E494" t="str">
        <f ca="1">VLOOKUP(RANDBETWEEN(1,8),Tabla3[],2,FALSE)</f>
        <v>Laptops</v>
      </c>
      <c r="F494" s="15">
        <f ca="1">VLOOKUP(RANDBETWEEN(1,12),Tabla4[],2,FALSE)</f>
        <v>66150</v>
      </c>
      <c r="G494" s="15">
        <f ca="1">Tabladatos[[#This Row],[Ingresos]]*VLOOKUP(RANDBETWEEN(1,10),Tabla5[],2,FALSE)</f>
        <v>19845</v>
      </c>
      <c r="H494" s="15">
        <f ca="1">Tabladatos[[#This Row],[Ingresos]]-Tabladatos[[#This Row],[Costos]]</f>
        <v>46305</v>
      </c>
    </row>
    <row r="495" spans="1:8" ht="22.5" customHeight="1" x14ac:dyDescent="0.25">
      <c r="A495" t="s">
        <v>19</v>
      </c>
      <c r="B495" t="str">
        <f ca="1">VLOOKUP(RANDBETWEEN(1,3),Tabla1[],2,FALSE)</f>
        <v>Central</v>
      </c>
      <c r="C495">
        <v>2020</v>
      </c>
      <c r="D495" t="str">
        <f ca="1">VLOOKUP(RANDBETWEEN(1,4),Tabla2[],2,FALSE)</f>
        <v>1er Trimestre</v>
      </c>
      <c r="E495" t="str">
        <f ca="1">VLOOKUP(RANDBETWEEN(1,8),Tabla3[],2,FALSE)</f>
        <v>Monitores</v>
      </c>
      <c r="F495" s="15">
        <f ca="1">VLOOKUP(RANDBETWEEN(1,12),Tabla4[],2,FALSE)</f>
        <v>535990</v>
      </c>
      <c r="G495" s="15">
        <f ca="1">Tabladatos[[#This Row],[Ingresos]]*VLOOKUP(RANDBETWEEN(1,10),Tabla5[],2,FALSE)</f>
        <v>107198</v>
      </c>
      <c r="H495" s="15">
        <f ca="1">Tabladatos[[#This Row],[Ingresos]]-Tabladatos[[#This Row],[Costos]]</f>
        <v>428792</v>
      </c>
    </row>
    <row r="496" spans="1:8" ht="22.5" customHeight="1" x14ac:dyDescent="0.25">
      <c r="A496" t="s">
        <v>19</v>
      </c>
      <c r="B496" t="str">
        <f ca="1">VLOOKUP(RANDBETWEEN(1,3),Tabla1[],2,FALSE)</f>
        <v>Central</v>
      </c>
      <c r="C496">
        <v>2020</v>
      </c>
      <c r="D496" t="str">
        <f ca="1">VLOOKUP(RANDBETWEEN(1,4),Tabla2[],2,FALSE)</f>
        <v>4to Trimestre</v>
      </c>
      <c r="E496" t="str">
        <f ca="1">VLOOKUP(RANDBETWEEN(1,8),Tabla3[],2,FALSE)</f>
        <v>Impresoras</v>
      </c>
      <c r="F496" s="15">
        <f ca="1">VLOOKUP(RANDBETWEEN(1,12),Tabla4[],2,FALSE)</f>
        <v>120460</v>
      </c>
      <c r="G496" s="15">
        <f ca="1">Tabladatos[[#This Row],[Ingresos]]*VLOOKUP(RANDBETWEEN(1,10),Tabla5[],2,FALSE)</f>
        <v>24092</v>
      </c>
      <c r="H496" s="15">
        <f ca="1">Tabladatos[[#This Row],[Ingresos]]-Tabladatos[[#This Row],[Costos]]</f>
        <v>96368</v>
      </c>
    </row>
    <row r="497" spans="1:8" ht="22.5" customHeight="1" x14ac:dyDescent="0.25">
      <c r="A497" t="s">
        <v>19</v>
      </c>
      <c r="B497" t="str">
        <f ca="1">VLOOKUP(RANDBETWEEN(1,3),Tabla1[],2,FALSE)</f>
        <v xml:space="preserve">Sur </v>
      </c>
      <c r="C497">
        <v>2020</v>
      </c>
      <c r="D497" t="str">
        <f ca="1">VLOOKUP(RANDBETWEEN(1,4),Tabla2[],2,FALSE)</f>
        <v>2do Trimestre</v>
      </c>
      <c r="E497" t="str">
        <f ca="1">VLOOKUP(RANDBETWEEN(1,8),Tabla3[],2,FALSE)</f>
        <v>Escáners</v>
      </c>
      <c r="F497" s="15">
        <f ca="1">VLOOKUP(RANDBETWEEN(1,12),Tabla4[],2,FALSE)</f>
        <v>27300</v>
      </c>
      <c r="G497" s="15">
        <f ca="1">Tabladatos[[#This Row],[Ingresos]]*VLOOKUP(RANDBETWEEN(1,10),Tabla5[],2,FALSE)</f>
        <v>10920</v>
      </c>
      <c r="H497" s="15">
        <f ca="1">Tabladatos[[#This Row],[Ingresos]]-Tabladatos[[#This Row],[Costos]]</f>
        <v>16380</v>
      </c>
    </row>
    <row r="498" spans="1:8" ht="22.5" customHeight="1" x14ac:dyDescent="0.25">
      <c r="A498" t="s">
        <v>19</v>
      </c>
      <c r="B498" t="str">
        <f ca="1">VLOOKUP(RANDBETWEEN(1,3),Tabla1[],2,FALSE)</f>
        <v xml:space="preserve">Sur </v>
      </c>
      <c r="C498">
        <v>2020</v>
      </c>
      <c r="D498" t="str">
        <f ca="1">VLOOKUP(RANDBETWEEN(1,4),Tabla2[],2,FALSE)</f>
        <v>3er Trimestre</v>
      </c>
      <c r="E498" t="str">
        <f ca="1">VLOOKUP(RANDBETWEEN(1,8),Tabla3[],2,FALSE)</f>
        <v>Monitores</v>
      </c>
      <c r="F498" s="15">
        <f ca="1">VLOOKUP(RANDBETWEEN(1,12),Tabla4[],2,FALSE)</f>
        <v>365285</v>
      </c>
      <c r="G498" s="15">
        <f ca="1">Tabladatos[[#This Row],[Ingresos]]*VLOOKUP(RANDBETWEEN(1,10),Tabla5[],2,FALSE)</f>
        <v>292228</v>
      </c>
      <c r="H498" s="15">
        <f ca="1">Tabladatos[[#This Row],[Ingresos]]-Tabladatos[[#This Row],[Costos]]</f>
        <v>73057</v>
      </c>
    </row>
    <row r="499" spans="1:8" ht="22.5" customHeight="1" x14ac:dyDescent="0.25">
      <c r="A499" t="s">
        <v>20</v>
      </c>
      <c r="B499" t="str">
        <f ca="1">VLOOKUP(RANDBETWEEN(1,3),Tabla1[],2,FALSE)</f>
        <v>Norte</v>
      </c>
      <c r="C499">
        <v>2020</v>
      </c>
      <c r="D499" t="str">
        <f ca="1">VLOOKUP(RANDBETWEEN(1,4),Tabla2[],2,FALSE)</f>
        <v>3er Trimestre</v>
      </c>
      <c r="E499" t="str">
        <f ca="1">VLOOKUP(RANDBETWEEN(1,8),Tabla3[],2,FALSE)</f>
        <v>Laptops</v>
      </c>
      <c r="F499" s="15">
        <f ca="1">VLOOKUP(RANDBETWEEN(1,12),Tabla4[],2,FALSE)</f>
        <v>170000</v>
      </c>
      <c r="G499" s="15">
        <f ca="1">Tabladatos[[#This Row],[Ingresos]]*VLOOKUP(RANDBETWEEN(1,10),Tabla5[],2,FALSE)</f>
        <v>136000</v>
      </c>
      <c r="H499" s="15">
        <f ca="1">Tabladatos[[#This Row],[Ingresos]]-Tabladatos[[#This Row],[Costos]]</f>
        <v>34000</v>
      </c>
    </row>
    <row r="500" spans="1:8" ht="22.5" customHeight="1" x14ac:dyDescent="0.25">
      <c r="A500" t="s">
        <v>20</v>
      </c>
      <c r="B500" t="str">
        <f ca="1">VLOOKUP(RANDBETWEEN(1,3),Tabla1[],2,FALSE)</f>
        <v xml:space="preserve">Sur </v>
      </c>
      <c r="C500">
        <v>2020</v>
      </c>
      <c r="D500" t="str">
        <f ca="1">VLOOKUP(RANDBETWEEN(1,4),Tabla2[],2,FALSE)</f>
        <v>1er Trimestre</v>
      </c>
      <c r="E500" t="str">
        <f ca="1">VLOOKUP(RANDBETWEEN(1,8),Tabla3[],2,FALSE)</f>
        <v>Escáners</v>
      </c>
      <c r="F500" s="15">
        <f ca="1">VLOOKUP(RANDBETWEEN(1,12),Tabla4[],2,FALSE)</f>
        <v>365285</v>
      </c>
      <c r="G500" s="15">
        <f ca="1">Tabladatos[[#This Row],[Ingresos]]*VLOOKUP(RANDBETWEEN(1,10),Tabla5[],2,FALSE)</f>
        <v>182642.5</v>
      </c>
      <c r="H500" s="15">
        <f ca="1">Tabladatos[[#This Row],[Ingresos]]-Tabladatos[[#This Row],[Costos]]</f>
        <v>182642.5</v>
      </c>
    </row>
    <row r="501" spans="1:8" ht="22.5" customHeight="1" x14ac:dyDescent="0.25">
      <c r="A501" t="s">
        <v>20</v>
      </c>
      <c r="B501" t="str">
        <f ca="1">VLOOKUP(RANDBETWEEN(1,3),Tabla1[],2,FALSE)</f>
        <v>Norte</v>
      </c>
      <c r="C501">
        <v>2020</v>
      </c>
      <c r="D501" t="str">
        <f ca="1">VLOOKUP(RANDBETWEEN(1,4),Tabla2[],2,FALSE)</f>
        <v>3er Trimestre</v>
      </c>
      <c r="E501" t="str">
        <f ca="1">VLOOKUP(RANDBETWEEN(1,8),Tabla3[],2,FALSE)</f>
        <v>Monitores</v>
      </c>
      <c r="F501" s="15">
        <f ca="1">VLOOKUP(RANDBETWEEN(1,12),Tabla4[],2,FALSE)</f>
        <v>490000</v>
      </c>
      <c r="G501" s="15">
        <f ca="1">Tabladatos[[#This Row],[Ingresos]]*VLOOKUP(RANDBETWEEN(1,10),Tabla5[],2,FALSE)</f>
        <v>147000</v>
      </c>
      <c r="H501" s="15">
        <f ca="1">Tabladatos[[#This Row],[Ingresos]]-Tabladatos[[#This Row],[Costos]]</f>
        <v>343000</v>
      </c>
    </row>
    <row r="502" spans="1:8" ht="22.5" customHeight="1" x14ac:dyDescent="0.25">
      <c r="A502" t="s">
        <v>20</v>
      </c>
      <c r="B502" t="str">
        <f ca="1">VLOOKUP(RANDBETWEEN(1,3),Tabla1[],2,FALSE)</f>
        <v>Central</v>
      </c>
      <c r="C502">
        <v>2020</v>
      </c>
      <c r="D502" t="str">
        <f ca="1">VLOOKUP(RANDBETWEEN(1,4),Tabla2[],2,FALSE)</f>
        <v>1er Trimestre</v>
      </c>
      <c r="E502" t="str">
        <f ca="1">VLOOKUP(RANDBETWEEN(1,8),Tabla3[],2,FALSE)</f>
        <v>SSD</v>
      </c>
      <c r="F502" s="15">
        <f ca="1">VLOOKUP(RANDBETWEEN(1,12),Tabla4[],2,FALSE)</f>
        <v>490000</v>
      </c>
      <c r="G502" s="15">
        <f ca="1">Tabladatos[[#This Row],[Ingresos]]*VLOOKUP(RANDBETWEEN(1,10),Tabla5[],2,FALSE)</f>
        <v>73500</v>
      </c>
      <c r="H502" s="15">
        <f ca="1">Tabladatos[[#This Row],[Ingresos]]-Tabladatos[[#This Row],[Costos]]</f>
        <v>416500</v>
      </c>
    </row>
    <row r="503" spans="1:8" ht="22.5" customHeight="1" x14ac:dyDescent="0.25">
      <c r="A503" t="s">
        <v>20</v>
      </c>
      <c r="B503" t="str">
        <f ca="1">VLOOKUP(RANDBETWEEN(1,3),Tabla1[],2,FALSE)</f>
        <v>Norte</v>
      </c>
      <c r="C503">
        <v>2020</v>
      </c>
      <c r="D503" t="str">
        <f ca="1">VLOOKUP(RANDBETWEEN(1,4),Tabla2[],2,FALSE)</f>
        <v>2do Trimestre</v>
      </c>
      <c r="E503" t="str">
        <f ca="1">VLOOKUP(RANDBETWEEN(1,8),Tabla3[],2,FALSE)</f>
        <v>Laptops</v>
      </c>
      <c r="F503" s="15">
        <f ca="1">VLOOKUP(RANDBETWEEN(1,12),Tabla4[],2,FALSE)</f>
        <v>415765</v>
      </c>
      <c r="G503" s="15">
        <f ca="1">Tabladatos[[#This Row],[Ingresos]]*VLOOKUP(RANDBETWEEN(1,10),Tabla5[],2,FALSE)</f>
        <v>249459</v>
      </c>
      <c r="H503" s="15">
        <f ca="1">Tabladatos[[#This Row],[Ingresos]]-Tabladatos[[#This Row],[Costos]]</f>
        <v>166306</v>
      </c>
    </row>
    <row r="504" spans="1:8" ht="22.5" customHeight="1" x14ac:dyDescent="0.25">
      <c r="A504" t="s">
        <v>20</v>
      </c>
      <c r="B504" t="str">
        <f ca="1">VLOOKUP(RANDBETWEEN(1,3),Tabla1[],2,FALSE)</f>
        <v xml:space="preserve">Sur </v>
      </c>
      <c r="C504">
        <v>2020</v>
      </c>
      <c r="D504" t="str">
        <f ca="1">VLOOKUP(RANDBETWEEN(1,4),Tabla2[],2,FALSE)</f>
        <v>1er Trimestre</v>
      </c>
      <c r="E504" t="str">
        <f ca="1">VLOOKUP(RANDBETWEEN(1,8),Tabla3[],2,FALSE)</f>
        <v>Memorias USB</v>
      </c>
      <c r="F504" s="15">
        <f ca="1">VLOOKUP(RANDBETWEEN(1,12),Tabla4[],2,FALSE)</f>
        <v>228990</v>
      </c>
      <c r="G504" s="15">
        <f ca="1">Tabladatos[[#This Row],[Ingresos]]*VLOOKUP(RANDBETWEEN(1,10),Tabla5[],2,FALSE)</f>
        <v>57247.5</v>
      </c>
      <c r="H504" s="15">
        <f ca="1">Tabladatos[[#This Row],[Ingresos]]-Tabladatos[[#This Row],[Costos]]</f>
        <v>171742.5</v>
      </c>
    </row>
    <row r="505" spans="1:8" ht="22.5" customHeight="1" x14ac:dyDescent="0.25">
      <c r="A505" t="s">
        <v>20</v>
      </c>
      <c r="B505" t="str">
        <f ca="1">VLOOKUP(RANDBETWEEN(1,3),Tabla1[],2,FALSE)</f>
        <v xml:space="preserve">Sur </v>
      </c>
      <c r="C505">
        <v>2020</v>
      </c>
      <c r="D505" t="str">
        <f ca="1">VLOOKUP(RANDBETWEEN(1,4),Tabla2[],2,FALSE)</f>
        <v>2do Trimestre</v>
      </c>
      <c r="E505" t="str">
        <f ca="1">VLOOKUP(RANDBETWEEN(1,8),Tabla3[],2,FALSE)</f>
        <v>Escáners</v>
      </c>
      <c r="F505" s="15">
        <f ca="1">VLOOKUP(RANDBETWEEN(1,12),Tabla4[],2,FALSE)</f>
        <v>599800</v>
      </c>
      <c r="G505" s="15">
        <f ca="1">Tabladatos[[#This Row],[Ingresos]]*VLOOKUP(RANDBETWEEN(1,10),Tabla5[],2,FALSE)</f>
        <v>419860</v>
      </c>
      <c r="H505" s="15">
        <f ca="1">Tabladatos[[#This Row],[Ingresos]]-Tabladatos[[#This Row],[Costos]]</f>
        <v>179940</v>
      </c>
    </row>
    <row r="506" spans="1:8" ht="22.5" customHeight="1" x14ac:dyDescent="0.25">
      <c r="A506" t="s">
        <v>20</v>
      </c>
      <c r="B506" t="str">
        <f ca="1">VLOOKUP(RANDBETWEEN(1,3),Tabla1[],2,FALSE)</f>
        <v xml:space="preserve">Sur </v>
      </c>
      <c r="C506">
        <v>2020</v>
      </c>
      <c r="D506" t="str">
        <f ca="1">VLOOKUP(RANDBETWEEN(1,4),Tabla2[],2,FALSE)</f>
        <v>2do Trimestre</v>
      </c>
      <c r="E506" t="str">
        <f ca="1">VLOOKUP(RANDBETWEEN(1,8),Tabla3[],2,FALSE)</f>
        <v>Tarjetas Wifi</v>
      </c>
      <c r="F506" s="15">
        <f ca="1">VLOOKUP(RANDBETWEEN(1,12),Tabla4[],2,FALSE)</f>
        <v>300000</v>
      </c>
      <c r="G506" s="15">
        <f ca="1">Tabladatos[[#This Row],[Ingresos]]*VLOOKUP(RANDBETWEEN(1,10),Tabla5[],2,FALSE)</f>
        <v>30000</v>
      </c>
      <c r="H506" s="15">
        <f ca="1">Tabladatos[[#This Row],[Ingresos]]-Tabladatos[[#This Row],[Costos]]</f>
        <v>270000</v>
      </c>
    </row>
    <row r="507" spans="1:8" ht="22.5" customHeight="1" x14ac:dyDescent="0.25">
      <c r="A507" t="s">
        <v>20</v>
      </c>
      <c r="B507" t="str">
        <f ca="1">VLOOKUP(RANDBETWEEN(1,3),Tabla1[],2,FALSE)</f>
        <v>Norte</v>
      </c>
      <c r="C507">
        <v>2020</v>
      </c>
      <c r="D507" t="str">
        <f ca="1">VLOOKUP(RANDBETWEEN(1,4),Tabla2[],2,FALSE)</f>
        <v>1er Trimestre</v>
      </c>
      <c r="E507" t="str">
        <f ca="1">VLOOKUP(RANDBETWEEN(1,8),Tabla3[],2,FALSE)</f>
        <v>Monitores</v>
      </c>
      <c r="F507" s="15">
        <f ca="1">VLOOKUP(RANDBETWEEN(1,12),Tabla4[],2,FALSE)</f>
        <v>300000</v>
      </c>
      <c r="G507" s="15">
        <f ca="1">Tabladatos[[#This Row],[Ingresos]]*VLOOKUP(RANDBETWEEN(1,10),Tabla5[],2,FALSE)</f>
        <v>75000</v>
      </c>
      <c r="H507" s="15">
        <f ca="1">Tabladatos[[#This Row],[Ingresos]]-Tabladatos[[#This Row],[Costos]]</f>
        <v>225000</v>
      </c>
    </row>
    <row r="508" spans="1:8" ht="22.5" customHeight="1" x14ac:dyDescent="0.25">
      <c r="A508" t="s">
        <v>20</v>
      </c>
      <c r="B508" t="str">
        <f ca="1">VLOOKUP(RANDBETWEEN(1,3),Tabla1[],2,FALSE)</f>
        <v xml:space="preserve">Sur </v>
      </c>
      <c r="C508">
        <v>2020</v>
      </c>
      <c r="D508" t="str">
        <f ca="1">VLOOKUP(RANDBETWEEN(1,4),Tabla2[],2,FALSE)</f>
        <v>2do Trimestre</v>
      </c>
      <c r="E508" t="str">
        <f ca="1">VLOOKUP(RANDBETWEEN(1,8),Tabla3[],2,FALSE)</f>
        <v>Laptops</v>
      </c>
      <c r="F508" s="15">
        <f ca="1">VLOOKUP(RANDBETWEEN(1,12),Tabla4[],2,FALSE)</f>
        <v>66150</v>
      </c>
      <c r="G508" s="15">
        <f ca="1">Tabladatos[[#This Row],[Ingresos]]*VLOOKUP(RANDBETWEEN(1,10),Tabla5[],2,FALSE)</f>
        <v>33075</v>
      </c>
      <c r="H508" s="15">
        <f ca="1">Tabladatos[[#This Row],[Ingresos]]-Tabladatos[[#This Row],[Costos]]</f>
        <v>33075</v>
      </c>
    </row>
    <row r="509" spans="1:8" ht="22.5" customHeight="1" x14ac:dyDescent="0.25">
      <c r="A509" t="s">
        <v>20</v>
      </c>
      <c r="B509" t="str">
        <f ca="1">VLOOKUP(RANDBETWEEN(1,3),Tabla1[],2,FALSE)</f>
        <v>Norte</v>
      </c>
      <c r="C509">
        <v>2020</v>
      </c>
      <c r="D509" t="str">
        <f ca="1">VLOOKUP(RANDBETWEEN(1,4),Tabla2[],2,FALSE)</f>
        <v>4to Trimestre</v>
      </c>
      <c r="E509" t="str">
        <f ca="1">VLOOKUP(RANDBETWEEN(1,8),Tabla3[],2,FALSE)</f>
        <v>Memorias USB</v>
      </c>
      <c r="F509" s="15">
        <f ca="1">VLOOKUP(RANDBETWEEN(1,12),Tabla4[],2,FALSE)</f>
        <v>365285</v>
      </c>
      <c r="G509" s="15">
        <f ca="1">Tabladatos[[#This Row],[Ingresos]]*VLOOKUP(RANDBETWEEN(1,10),Tabla5[],2,FALSE)</f>
        <v>146114</v>
      </c>
      <c r="H509" s="15">
        <f ca="1">Tabladatos[[#This Row],[Ingresos]]-Tabladatos[[#This Row],[Costos]]</f>
        <v>219171</v>
      </c>
    </row>
    <row r="510" spans="1:8" ht="22.5" customHeight="1" x14ac:dyDescent="0.25">
      <c r="A510" t="s">
        <v>20</v>
      </c>
      <c r="B510" t="str">
        <f ca="1">VLOOKUP(RANDBETWEEN(1,3),Tabla1[],2,FALSE)</f>
        <v>Norte</v>
      </c>
      <c r="C510">
        <v>2020</v>
      </c>
      <c r="D510" t="str">
        <f ca="1">VLOOKUP(RANDBETWEEN(1,4),Tabla2[],2,FALSE)</f>
        <v>3er Trimestre</v>
      </c>
      <c r="E510" t="str">
        <f ca="1">VLOOKUP(RANDBETWEEN(1,8),Tabla3[],2,FALSE)</f>
        <v>SSD</v>
      </c>
      <c r="F510" s="15">
        <f ca="1">VLOOKUP(RANDBETWEEN(1,12),Tabla4[],2,FALSE)</f>
        <v>415765</v>
      </c>
      <c r="G510" s="15">
        <f ca="1">Tabladatos[[#This Row],[Ingresos]]*VLOOKUP(RANDBETWEEN(1,10),Tabla5[],2,FALSE)</f>
        <v>291035.5</v>
      </c>
      <c r="H510" s="15">
        <f ca="1">Tabladatos[[#This Row],[Ingresos]]-Tabladatos[[#This Row],[Costos]]</f>
        <v>124729.5</v>
      </c>
    </row>
    <row r="511" spans="1:8" ht="22.5" customHeight="1" x14ac:dyDescent="0.25">
      <c r="A511" t="s">
        <v>20</v>
      </c>
      <c r="B511" t="str">
        <f ca="1">VLOOKUP(RANDBETWEEN(1,3),Tabla1[],2,FALSE)</f>
        <v xml:space="preserve">Sur </v>
      </c>
      <c r="C511">
        <v>2020</v>
      </c>
      <c r="D511" t="str">
        <f ca="1">VLOOKUP(RANDBETWEEN(1,4),Tabla2[],2,FALSE)</f>
        <v>4to Trimestre</v>
      </c>
      <c r="E511" t="str">
        <f ca="1">VLOOKUP(RANDBETWEEN(1,8),Tabla3[],2,FALSE)</f>
        <v>Monitores</v>
      </c>
      <c r="F511" s="15">
        <f ca="1">VLOOKUP(RANDBETWEEN(1,12),Tabla4[],2,FALSE)</f>
        <v>95945</v>
      </c>
      <c r="G511" s="15">
        <f ca="1">Tabladatos[[#This Row],[Ingresos]]*VLOOKUP(RANDBETWEEN(1,10),Tabla5[],2,FALSE)</f>
        <v>57567</v>
      </c>
      <c r="H511" s="15">
        <f ca="1">Tabladatos[[#This Row],[Ingresos]]-Tabladatos[[#This Row],[Costos]]</f>
        <v>38378</v>
      </c>
    </row>
    <row r="512" spans="1:8" ht="22.5" customHeight="1" x14ac:dyDescent="0.25">
      <c r="A512" t="s">
        <v>20</v>
      </c>
      <c r="B512" t="str">
        <f ca="1">VLOOKUP(RANDBETWEEN(1,3),Tabla1[],2,FALSE)</f>
        <v>Norte</v>
      </c>
      <c r="C512">
        <v>2020</v>
      </c>
      <c r="D512" t="str">
        <f ca="1">VLOOKUP(RANDBETWEEN(1,4),Tabla2[],2,FALSE)</f>
        <v>3er Trimestre</v>
      </c>
      <c r="E512" t="str">
        <f ca="1">VLOOKUP(RANDBETWEEN(1,8),Tabla3[],2,FALSE)</f>
        <v>Computadoras</v>
      </c>
      <c r="F512" s="15">
        <f ca="1">VLOOKUP(RANDBETWEEN(1,12),Tabla4[],2,FALSE)</f>
        <v>120460</v>
      </c>
      <c r="G512" s="15">
        <f ca="1">Tabladatos[[#This Row],[Ingresos]]*VLOOKUP(RANDBETWEEN(1,10),Tabla5[],2,FALSE)</f>
        <v>24092</v>
      </c>
      <c r="H512" s="15">
        <f ca="1">Tabladatos[[#This Row],[Ingresos]]-Tabladatos[[#This Row],[Costos]]</f>
        <v>96368</v>
      </c>
    </row>
    <row r="513" spans="1:8" ht="22.5" customHeight="1" x14ac:dyDescent="0.25">
      <c r="A513" t="s">
        <v>20</v>
      </c>
      <c r="B513" t="str">
        <f ca="1">VLOOKUP(RANDBETWEEN(1,3),Tabla1[],2,FALSE)</f>
        <v xml:space="preserve">Sur </v>
      </c>
      <c r="C513">
        <v>2020</v>
      </c>
      <c r="D513" t="str">
        <f ca="1">VLOOKUP(RANDBETWEEN(1,4),Tabla2[],2,FALSE)</f>
        <v>2do Trimestre</v>
      </c>
      <c r="E513" t="str">
        <f ca="1">VLOOKUP(RANDBETWEEN(1,8),Tabla3[],2,FALSE)</f>
        <v>Laptops</v>
      </c>
      <c r="F513" s="15">
        <f ca="1">VLOOKUP(RANDBETWEEN(1,12),Tabla4[],2,FALSE)</f>
        <v>228990</v>
      </c>
      <c r="G513" s="15">
        <f ca="1">Tabladatos[[#This Row],[Ingresos]]*VLOOKUP(RANDBETWEEN(1,10),Tabla5[],2,FALSE)</f>
        <v>45798</v>
      </c>
      <c r="H513" s="15">
        <f ca="1">Tabladatos[[#This Row],[Ingresos]]-Tabladatos[[#This Row],[Costos]]</f>
        <v>183192</v>
      </c>
    </row>
    <row r="514" spans="1:8" ht="22.5" customHeight="1" x14ac:dyDescent="0.25">
      <c r="A514" t="s">
        <v>20</v>
      </c>
      <c r="B514" t="str">
        <f ca="1">VLOOKUP(RANDBETWEEN(1,3),Tabla1[],2,FALSE)</f>
        <v>Central</v>
      </c>
      <c r="C514">
        <v>2020</v>
      </c>
      <c r="D514" t="str">
        <f ca="1">VLOOKUP(RANDBETWEEN(1,4),Tabla2[],2,FALSE)</f>
        <v>1er Trimestre</v>
      </c>
      <c r="E514" t="str">
        <f ca="1">VLOOKUP(RANDBETWEEN(1,8),Tabla3[],2,FALSE)</f>
        <v>Tarjetas Wifi</v>
      </c>
      <c r="F514" s="15">
        <f ca="1">VLOOKUP(RANDBETWEEN(1,12),Tabla4[],2,FALSE)</f>
        <v>27300</v>
      </c>
      <c r="G514" s="15">
        <f ca="1">Tabladatos[[#This Row],[Ingresos]]*VLOOKUP(RANDBETWEEN(1,10),Tabla5[],2,FALSE)</f>
        <v>19110</v>
      </c>
      <c r="H514" s="15">
        <f ca="1">Tabladatos[[#This Row],[Ingresos]]-Tabladatos[[#This Row],[Costos]]</f>
        <v>8190</v>
      </c>
    </row>
    <row r="515" spans="1:8" ht="22.5" customHeight="1" x14ac:dyDescent="0.25">
      <c r="A515" t="s">
        <v>20</v>
      </c>
      <c r="B515" t="str">
        <f ca="1">VLOOKUP(RANDBETWEEN(1,3),Tabla1[],2,FALSE)</f>
        <v>Central</v>
      </c>
      <c r="C515">
        <v>2020</v>
      </c>
      <c r="D515" t="str">
        <f ca="1">VLOOKUP(RANDBETWEEN(1,4),Tabla2[],2,FALSE)</f>
        <v>2do Trimestre</v>
      </c>
      <c r="E515" t="str">
        <f ca="1">VLOOKUP(RANDBETWEEN(1,8),Tabla3[],2,FALSE)</f>
        <v>Laptops</v>
      </c>
      <c r="F515" s="15">
        <f ca="1">VLOOKUP(RANDBETWEEN(1,12),Tabla4[],2,FALSE)</f>
        <v>300000</v>
      </c>
      <c r="G515" s="15">
        <f ca="1">Tabladatos[[#This Row],[Ingresos]]*VLOOKUP(RANDBETWEEN(1,10),Tabla5[],2,FALSE)</f>
        <v>60000</v>
      </c>
      <c r="H515" s="15">
        <f ca="1">Tabladatos[[#This Row],[Ingresos]]-Tabladatos[[#This Row],[Costos]]</f>
        <v>240000</v>
      </c>
    </row>
    <row r="516" spans="1:8" ht="22.5" customHeight="1" x14ac:dyDescent="0.25">
      <c r="A516" t="s">
        <v>20</v>
      </c>
      <c r="B516" t="str">
        <f ca="1">VLOOKUP(RANDBETWEEN(1,3),Tabla1[],2,FALSE)</f>
        <v>Norte</v>
      </c>
      <c r="C516">
        <v>2020</v>
      </c>
      <c r="D516" t="str">
        <f ca="1">VLOOKUP(RANDBETWEEN(1,4),Tabla2[],2,FALSE)</f>
        <v>1er Trimestre</v>
      </c>
      <c r="E516" t="str">
        <f ca="1">VLOOKUP(RANDBETWEEN(1,8),Tabla3[],2,FALSE)</f>
        <v>Computadoras</v>
      </c>
      <c r="F516" s="15">
        <f ca="1">VLOOKUP(RANDBETWEEN(1,12),Tabla4[],2,FALSE)</f>
        <v>95945</v>
      </c>
      <c r="G516" s="15">
        <f ca="1">Tabladatos[[#This Row],[Ingresos]]*VLOOKUP(RANDBETWEEN(1,10),Tabla5[],2,FALSE)</f>
        <v>28783.5</v>
      </c>
      <c r="H516" s="15">
        <f ca="1">Tabladatos[[#This Row],[Ingresos]]-Tabladatos[[#This Row],[Costos]]</f>
        <v>67161.5</v>
      </c>
    </row>
    <row r="517" spans="1:8" ht="22.5" customHeight="1" x14ac:dyDescent="0.25">
      <c r="A517" t="s">
        <v>20</v>
      </c>
      <c r="B517" t="str">
        <f ca="1">VLOOKUP(RANDBETWEEN(1,3),Tabla1[],2,FALSE)</f>
        <v xml:space="preserve">Sur </v>
      </c>
      <c r="C517">
        <v>2020</v>
      </c>
      <c r="D517" t="str">
        <f ca="1">VLOOKUP(RANDBETWEEN(1,4),Tabla2[],2,FALSE)</f>
        <v>1er Trimestre</v>
      </c>
      <c r="E517" t="str">
        <f ca="1">VLOOKUP(RANDBETWEEN(1,8),Tabla3[],2,FALSE)</f>
        <v>Impresoras</v>
      </c>
      <c r="F517" s="15">
        <f ca="1">VLOOKUP(RANDBETWEEN(1,12),Tabla4[],2,FALSE)</f>
        <v>27300</v>
      </c>
      <c r="G517" s="15">
        <f ca="1">Tabladatos[[#This Row],[Ingresos]]*VLOOKUP(RANDBETWEEN(1,10),Tabla5[],2,FALSE)</f>
        <v>21840</v>
      </c>
      <c r="H517" s="15">
        <f ca="1">Tabladatos[[#This Row],[Ingresos]]-Tabladatos[[#This Row],[Costos]]</f>
        <v>5460</v>
      </c>
    </row>
    <row r="518" spans="1:8" ht="22.5" customHeight="1" x14ac:dyDescent="0.25">
      <c r="A518" t="s">
        <v>20</v>
      </c>
      <c r="B518" t="str">
        <f ca="1">VLOOKUP(RANDBETWEEN(1,3),Tabla1[],2,FALSE)</f>
        <v>Norte</v>
      </c>
      <c r="C518">
        <v>2020</v>
      </c>
      <c r="D518" t="str">
        <f ca="1">VLOOKUP(RANDBETWEEN(1,4),Tabla2[],2,FALSE)</f>
        <v>4to Trimestre</v>
      </c>
      <c r="E518" t="str">
        <f ca="1">VLOOKUP(RANDBETWEEN(1,8),Tabla3[],2,FALSE)</f>
        <v>SSD</v>
      </c>
      <c r="F518" s="15">
        <f ca="1">VLOOKUP(RANDBETWEEN(1,12),Tabla4[],2,FALSE)</f>
        <v>66150</v>
      </c>
      <c r="G518" s="15">
        <f ca="1">Tabladatos[[#This Row],[Ingresos]]*VLOOKUP(RANDBETWEEN(1,10),Tabla5[],2,FALSE)</f>
        <v>39690</v>
      </c>
      <c r="H518" s="15">
        <f ca="1">Tabladatos[[#This Row],[Ingresos]]-Tabladatos[[#This Row],[Costos]]</f>
        <v>26460</v>
      </c>
    </row>
    <row r="519" spans="1:8" ht="22.5" customHeight="1" x14ac:dyDescent="0.25">
      <c r="A519" t="s">
        <v>20</v>
      </c>
      <c r="B519" t="str">
        <f ca="1">VLOOKUP(RANDBETWEEN(1,3),Tabla1[],2,FALSE)</f>
        <v xml:space="preserve">Sur </v>
      </c>
      <c r="C519">
        <v>2020</v>
      </c>
      <c r="D519" t="str">
        <f ca="1">VLOOKUP(RANDBETWEEN(1,4),Tabla2[],2,FALSE)</f>
        <v>3er Trimestre</v>
      </c>
      <c r="E519" t="str">
        <f ca="1">VLOOKUP(RANDBETWEEN(1,8),Tabla3[],2,FALSE)</f>
        <v>Tarjetas Wifi</v>
      </c>
      <c r="F519" s="15">
        <f ca="1">VLOOKUP(RANDBETWEEN(1,12),Tabla4[],2,FALSE)</f>
        <v>599800</v>
      </c>
      <c r="G519" s="15">
        <f ca="1">Tabladatos[[#This Row],[Ingresos]]*VLOOKUP(RANDBETWEEN(1,10),Tabla5[],2,FALSE)</f>
        <v>89970</v>
      </c>
      <c r="H519" s="15">
        <f ca="1">Tabladatos[[#This Row],[Ingresos]]-Tabladatos[[#This Row],[Costos]]</f>
        <v>509830</v>
      </c>
    </row>
    <row r="520" spans="1:8" ht="22.5" customHeight="1" x14ac:dyDescent="0.25">
      <c r="A520" t="s">
        <v>20</v>
      </c>
      <c r="B520" t="str">
        <f ca="1">VLOOKUP(RANDBETWEEN(1,3),Tabla1[],2,FALSE)</f>
        <v>Norte</v>
      </c>
      <c r="C520">
        <v>2020</v>
      </c>
      <c r="D520" t="str">
        <f ca="1">VLOOKUP(RANDBETWEEN(1,4),Tabla2[],2,FALSE)</f>
        <v>1er Trimestre</v>
      </c>
      <c r="E520" t="str">
        <f ca="1">VLOOKUP(RANDBETWEEN(1,8),Tabla3[],2,FALSE)</f>
        <v>Impresoras</v>
      </c>
      <c r="F520" s="15">
        <f ca="1">VLOOKUP(RANDBETWEEN(1,12),Tabla4[],2,FALSE)</f>
        <v>415765</v>
      </c>
      <c r="G520" s="15">
        <f ca="1">Tabladatos[[#This Row],[Ingresos]]*VLOOKUP(RANDBETWEEN(1,10),Tabla5[],2,FALSE)</f>
        <v>166306</v>
      </c>
      <c r="H520" s="15">
        <f ca="1">Tabladatos[[#This Row],[Ingresos]]-Tabladatos[[#This Row],[Costos]]</f>
        <v>249459</v>
      </c>
    </row>
    <row r="521" spans="1:8" ht="22.5" customHeight="1" x14ac:dyDescent="0.25">
      <c r="A521" t="s">
        <v>20</v>
      </c>
      <c r="B521" t="str">
        <f ca="1">VLOOKUP(RANDBETWEEN(1,3),Tabla1[],2,FALSE)</f>
        <v>Central</v>
      </c>
      <c r="C521">
        <v>2020</v>
      </c>
      <c r="D521" t="str">
        <f ca="1">VLOOKUP(RANDBETWEEN(1,4),Tabla2[],2,FALSE)</f>
        <v>4to Trimestre</v>
      </c>
      <c r="E521" t="str">
        <f ca="1">VLOOKUP(RANDBETWEEN(1,8),Tabla3[],2,FALSE)</f>
        <v>Tarjetas Wifi</v>
      </c>
      <c r="F521" s="15">
        <f ca="1">VLOOKUP(RANDBETWEEN(1,12),Tabla4[],2,FALSE)</f>
        <v>170000</v>
      </c>
      <c r="G521" s="15">
        <f ca="1">Tabladatos[[#This Row],[Ingresos]]*VLOOKUP(RANDBETWEEN(1,10),Tabla5[],2,FALSE)</f>
        <v>136000</v>
      </c>
      <c r="H521" s="15">
        <f ca="1">Tabladatos[[#This Row],[Ingresos]]-Tabladatos[[#This Row],[Costos]]</f>
        <v>34000</v>
      </c>
    </row>
    <row r="522" spans="1:8" ht="22.5" customHeight="1" x14ac:dyDescent="0.25">
      <c r="A522" t="s">
        <v>20</v>
      </c>
      <c r="B522" t="str">
        <f ca="1">VLOOKUP(RANDBETWEEN(1,3),Tabla1[],2,FALSE)</f>
        <v>Central</v>
      </c>
      <c r="C522">
        <v>2020</v>
      </c>
      <c r="D522" t="str">
        <f ca="1">VLOOKUP(RANDBETWEEN(1,4),Tabla2[],2,FALSE)</f>
        <v>3er Trimestre</v>
      </c>
      <c r="E522" t="str">
        <f ca="1">VLOOKUP(RANDBETWEEN(1,8),Tabla3[],2,FALSE)</f>
        <v>Laptops</v>
      </c>
      <c r="F522" s="15">
        <f ca="1">VLOOKUP(RANDBETWEEN(1,12),Tabla4[],2,FALSE)</f>
        <v>300000</v>
      </c>
      <c r="G522" s="15">
        <f ca="1">Tabladatos[[#This Row],[Ingresos]]*VLOOKUP(RANDBETWEEN(1,10),Tabla5[],2,FALSE)</f>
        <v>240000</v>
      </c>
      <c r="H522" s="15">
        <f ca="1">Tabladatos[[#This Row],[Ingresos]]-Tabladatos[[#This Row],[Costos]]</f>
        <v>60000</v>
      </c>
    </row>
    <row r="523" spans="1:8" ht="22.5" customHeight="1" x14ac:dyDescent="0.25">
      <c r="A523" t="s">
        <v>20</v>
      </c>
      <c r="B523" t="str">
        <f ca="1">VLOOKUP(RANDBETWEEN(1,3),Tabla1[],2,FALSE)</f>
        <v xml:space="preserve">Sur </v>
      </c>
      <c r="C523">
        <v>2020</v>
      </c>
      <c r="D523" t="str">
        <f ca="1">VLOOKUP(RANDBETWEEN(1,4),Tabla2[],2,FALSE)</f>
        <v>4to Trimestre</v>
      </c>
      <c r="E523" t="str">
        <f ca="1">VLOOKUP(RANDBETWEEN(1,8),Tabla3[],2,FALSE)</f>
        <v>Tarjetas Wifi</v>
      </c>
      <c r="F523" s="15">
        <f ca="1">VLOOKUP(RANDBETWEEN(1,12),Tabla4[],2,FALSE)</f>
        <v>415765</v>
      </c>
      <c r="G523" s="15">
        <f ca="1">Tabladatos[[#This Row],[Ingresos]]*VLOOKUP(RANDBETWEEN(1,10),Tabla5[],2,FALSE)</f>
        <v>166306</v>
      </c>
      <c r="H523" s="15">
        <f ca="1">Tabladatos[[#This Row],[Ingresos]]-Tabladatos[[#This Row],[Costos]]</f>
        <v>249459</v>
      </c>
    </row>
    <row r="524" spans="1:8" ht="22.5" customHeight="1" x14ac:dyDescent="0.25">
      <c r="A524" t="s">
        <v>20</v>
      </c>
      <c r="B524" t="str">
        <f ca="1">VLOOKUP(RANDBETWEEN(1,3),Tabla1[],2,FALSE)</f>
        <v>Central</v>
      </c>
      <c r="C524">
        <v>2020</v>
      </c>
      <c r="D524" t="str">
        <f ca="1">VLOOKUP(RANDBETWEEN(1,4),Tabla2[],2,FALSE)</f>
        <v>2do Trimestre</v>
      </c>
      <c r="E524" t="str">
        <f ca="1">VLOOKUP(RANDBETWEEN(1,8),Tabla3[],2,FALSE)</f>
        <v>Tarjetas Wifi</v>
      </c>
      <c r="F524" s="15">
        <f ca="1">VLOOKUP(RANDBETWEEN(1,12),Tabla4[],2,FALSE)</f>
        <v>490000</v>
      </c>
      <c r="G524" s="15">
        <f ca="1">Tabladatos[[#This Row],[Ingresos]]*VLOOKUP(RANDBETWEEN(1,10),Tabla5[],2,FALSE)</f>
        <v>49000</v>
      </c>
      <c r="H524" s="15">
        <f ca="1">Tabladatos[[#This Row],[Ingresos]]-Tabladatos[[#This Row],[Costos]]</f>
        <v>441000</v>
      </c>
    </row>
    <row r="525" spans="1:8" ht="22.5" customHeight="1" x14ac:dyDescent="0.25">
      <c r="A525" t="s">
        <v>20</v>
      </c>
      <c r="B525" t="str">
        <f ca="1">VLOOKUP(RANDBETWEEN(1,3),Tabla1[],2,FALSE)</f>
        <v xml:space="preserve">Sur </v>
      </c>
      <c r="C525">
        <v>2020</v>
      </c>
      <c r="D525" t="str">
        <f ca="1">VLOOKUP(RANDBETWEEN(1,4),Tabla2[],2,FALSE)</f>
        <v>4to Trimestre</v>
      </c>
      <c r="E525" t="str">
        <f ca="1">VLOOKUP(RANDBETWEEN(1,8),Tabla3[],2,FALSE)</f>
        <v>SSD</v>
      </c>
      <c r="F525" s="15">
        <f ca="1">VLOOKUP(RANDBETWEEN(1,12),Tabla4[],2,FALSE)</f>
        <v>27300</v>
      </c>
      <c r="G525" s="15">
        <f ca="1">Tabladatos[[#This Row],[Ingresos]]*VLOOKUP(RANDBETWEEN(1,10),Tabla5[],2,FALSE)</f>
        <v>10920</v>
      </c>
      <c r="H525" s="15">
        <f ca="1">Tabladatos[[#This Row],[Ingresos]]-Tabladatos[[#This Row],[Costos]]</f>
        <v>16380</v>
      </c>
    </row>
    <row r="526" spans="1:8" ht="22.5" customHeight="1" x14ac:dyDescent="0.25">
      <c r="A526" t="s">
        <v>20</v>
      </c>
      <c r="B526" t="str">
        <f ca="1">VLOOKUP(RANDBETWEEN(1,3),Tabla1[],2,FALSE)</f>
        <v xml:space="preserve">Sur </v>
      </c>
      <c r="C526">
        <v>2020</v>
      </c>
      <c r="D526" t="str">
        <f ca="1">VLOOKUP(RANDBETWEEN(1,4),Tabla2[],2,FALSE)</f>
        <v>3er Trimestre</v>
      </c>
      <c r="E526" t="str">
        <f ca="1">VLOOKUP(RANDBETWEEN(1,8),Tabla3[],2,FALSE)</f>
        <v>Monitores</v>
      </c>
      <c r="F526" s="15">
        <f ca="1">VLOOKUP(RANDBETWEEN(1,12),Tabla4[],2,FALSE)</f>
        <v>95945</v>
      </c>
      <c r="G526" s="15">
        <f ca="1">Tabladatos[[#This Row],[Ingresos]]*VLOOKUP(RANDBETWEEN(1,10),Tabla5[],2,FALSE)</f>
        <v>47972.5</v>
      </c>
      <c r="H526" s="15">
        <f ca="1">Tabladatos[[#This Row],[Ingresos]]-Tabladatos[[#This Row],[Costos]]</f>
        <v>47972.5</v>
      </c>
    </row>
    <row r="527" spans="1:8" ht="22.5" customHeight="1" x14ac:dyDescent="0.25">
      <c r="A527" t="s">
        <v>20</v>
      </c>
      <c r="B527" t="str">
        <f ca="1">VLOOKUP(RANDBETWEEN(1,3),Tabla1[],2,FALSE)</f>
        <v>Central</v>
      </c>
      <c r="C527">
        <v>2020</v>
      </c>
      <c r="D527" t="str">
        <f ca="1">VLOOKUP(RANDBETWEEN(1,4),Tabla2[],2,FALSE)</f>
        <v>3er Trimestre</v>
      </c>
      <c r="E527" t="str">
        <f ca="1">VLOOKUP(RANDBETWEEN(1,8),Tabla3[],2,FALSE)</f>
        <v>Laptops</v>
      </c>
      <c r="F527" s="15">
        <f ca="1">VLOOKUP(RANDBETWEEN(1,12),Tabla4[],2,FALSE)</f>
        <v>66150</v>
      </c>
      <c r="G527" s="15">
        <f ca="1">Tabladatos[[#This Row],[Ingresos]]*VLOOKUP(RANDBETWEEN(1,10),Tabla5[],2,FALSE)</f>
        <v>33075</v>
      </c>
      <c r="H527" s="15">
        <f ca="1">Tabladatos[[#This Row],[Ingresos]]-Tabladatos[[#This Row],[Costos]]</f>
        <v>33075</v>
      </c>
    </row>
    <row r="528" spans="1:8" ht="22.5" customHeight="1" x14ac:dyDescent="0.25">
      <c r="A528" t="s">
        <v>20</v>
      </c>
      <c r="B528" t="str">
        <f ca="1">VLOOKUP(RANDBETWEEN(1,3),Tabla1[],2,FALSE)</f>
        <v>Central</v>
      </c>
      <c r="C528">
        <v>2020</v>
      </c>
      <c r="D528" t="str">
        <f ca="1">VLOOKUP(RANDBETWEEN(1,4),Tabla2[],2,FALSE)</f>
        <v>2do Trimestre</v>
      </c>
      <c r="E528" t="str">
        <f ca="1">VLOOKUP(RANDBETWEEN(1,8),Tabla3[],2,FALSE)</f>
        <v>SSD</v>
      </c>
      <c r="F528" s="15">
        <f ca="1">VLOOKUP(RANDBETWEEN(1,12),Tabla4[],2,FALSE)</f>
        <v>300000</v>
      </c>
      <c r="G528" s="15">
        <f ca="1">Tabladatos[[#This Row],[Ingresos]]*VLOOKUP(RANDBETWEEN(1,10),Tabla5[],2,FALSE)</f>
        <v>60000</v>
      </c>
      <c r="H528" s="15">
        <f ca="1">Tabladatos[[#This Row],[Ingresos]]-Tabladatos[[#This Row],[Costos]]</f>
        <v>240000</v>
      </c>
    </row>
    <row r="529" spans="1:8" ht="22.5" customHeight="1" x14ac:dyDescent="0.25">
      <c r="A529" t="s">
        <v>20</v>
      </c>
      <c r="B529" t="str">
        <f ca="1">VLOOKUP(RANDBETWEEN(1,3),Tabla1[],2,FALSE)</f>
        <v xml:space="preserve">Sur </v>
      </c>
      <c r="C529">
        <v>2020</v>
      </c>
      <c r="D529" t="str">
        <f ca="1">VLOOKUP(RANDBETWEEN(1,4),Tabla2[],2,FALSE)</f>
        <v>2do Trimestre</v>
      </c>
      <c r="E529" t="str">
        <f ca="1">VLOOKUP(RANDBETWEEN(1,8),Tabla3[],2,FALSE)</f>
        <v>SSD</v>
      </c>
      <c r="F529" s="15">
        <f ca="1">VLOOKUP(RANDBETWEEN(1,12),Tabla4[],2,FALSE)</f>
        <v>415765</v>
      </c>
      <c r="G529" s="15">
        <f ca="1">Tabladatos[[#This Row],[Ingresos]]*VLOOKUP(RANDBETWEEN(1,10),Tabla5[],2,FALSE)</f>
        <v>41576.5</v>
      </c>
      <c r="H529" s="15">
        <f ca="1">Tabladatos[[#This Row],[Ingresos]]-Tabladatos[[#This Row],[Costos]]</f>
        <v>374188.5</v>
      </c>
    </row>
    <row r="530" spans="1:8" ht="22.5" customHeight="1" x14ac:dyDescent="0.25">
      <c r="A530" t="s">
        <v>20</v>
      </c>
      <c r="B530" t="str">
        <f ca="1">VLOOKUP(RANDBETWEEN(1,3),Tabla1[],2,FALSE)</f>
        <v>Norte</v>
      </c>
      <c r="C530">
        <v>2020</v>
      </c>
      <c r="D530" t="str">
        <f ca="1">VLOOKUP(RANDBETWEEN(1,4),Tabla2[],2,FALSE)</f>
        <v>4to Trimestre</v>
      </c>
      <c r="E530" t="str">
        <f ca="1">VLOOKUP(RANDBETWEEN(1,8),Tabla3[],2,FALSE)</f>
        <v>Laptops</v>
      </c>
      <c r="F530" s="15">
        <f ca="1">VLOOKUP(RANDBETWEEN(1,12),Tabla4[],2,FALSE)</f>
        <v>535990</v>
      </c>
      <c r="G530" s="15">
        <f ca="1">Tabladatos[[#This Row],[Ingresos]]*VLOOKUP(RANDBETWEEN(1,10),Tabla5[],2,FALSE)</f>
        <v>214396</v>
      </c>
      <c r="H530" s="15">
        <f ca="1">Tabladatos[[#This Row],[Ingresos]]-Tabladatos[[#This Row],[Costos]]</f>
        <v>321594</v>
      </c>
    </row>
    <row r="531" spans="1:8" ht="22.5" customHeight="1" x14ac:dyDescent="0.25">
      <c r="A531" t="s">
        <v>20</v>
      </c>
      <c r="B531" t="str">
        <f ca="1">VLOOKUP(RANDBETWEEN(1,3),Tabla1[],2,FALSE)</f>
        <v>Central</v>
      </c>
      <c r="C531">
        <v>2020</v>
      </c>
      <c r="D531" t="str">
        <f ca="1">VLOOKUP(RANDBETWEEN(1,4),Tabla2[],2,FALSE)</f>
        <v>4to Trimestre</v>
      </c>
      <c r="E531" t="str">
        <f ca="1">VLOOKUP(RANDBETWEEN(1,8),Tabla3[],2,FALSE)</f>
        <v>Impresoras</v>
      </c>
      <c r="F531" s="15">
        <f ca="1">VLOOKUP(RANDBETWEEN(1,12),Tabla4[],2,FALSE)</f>
        <v>66150</v>
      </c>
      <c r="G531" s="15">
        <f ca="1">Tabladatos[[#This Row],[Ingresos]]*VLOOKUP(RANDBETWEEN(1,10),Tabla5[],2,FALSE)</f>
        <v>6615</v>
      </c>
      <c r="H531" s="15">
        <f ca="1">Tabladatos[[#This Row],[Ingresos]]-Tabladatos[[#This Row],[Costos]]</f>
        <v>59535</v>
      </c>
    </row>
    <row r="532" spans="1:8" ht="22.5" customHeight="1" x14ac:dyDescent="0.25">
      <c r="A532" t="s">
        <v>20</v>
      </c>
      <c r="B532" t="str">
        <f ca="1">VLOOKUP(RANDBETWEEN(1,3),Tabla1[],2,FALSE)</f>
        <v>Central</v>
      </c>
      <c r="C532">
        <v>2020</v>
      </c>
      <c r="D532" t="str">
        <f ca="1">VLOOKUP(RANDBETWEEN(1,4),Tabla2[],2,FALSE)</f>
        <v>1er Trimestre</v>
      </c>
      <c r="E532" t="str">
        <f ca="1">VLOOKUP(RANDBETWEEN(1,8),Tabla3[],2,FALSE)</f>
        <v>Computadoras</v>
      </c>
      <c r="F532" s="15">
        <f ca="1">VLOOKUP(RANDBETWEEN(1,12),Tabla4[],2,FALSE)</f>
        <v>27300</v>
      </c>
      <c r="G532" s="15">
        <f ca="1">Tabladatos[[#This Row],[Ingresos]]*VLOOKUP(RANDBETWEEN(1,10),Tabla5[],2,FALSE)</f>
        <v>8190</v>
      </c>
      <c r="H532" s="15">
        <f ca="1">Tabladatos[[#This Row],[Ingresos]]-Tabladatos[[#This Row],[Costos]]</f>
        <v>19110</v>
      </c>
    </row>
    <row r="533" spans="1:8" ht="22.5" customHeight="1" x14ac:dyDescent="0.25">
      <c r="A533" t="s">
        <v>20</v>
      </c>
      <c r="B533" t="str">
        <f ca="1">VLOOKUP(RANDBETWEEN(1,3),Tabla1[],2,FALSE)</f>
        <v>Norte</v>
      </c>
      <c r="C533">
        <v>2020</v>
      </c>
      <c r="D533" t="str">
        <f ca="1">VLOOKUP(RANDBETWEEN(1,4),Tabla2[],2,FALSE)</f>
        <v>4to Trimestre</v>
      </c>
      <c r="E533" t="str">
        <f ca="1">VLOOKUP(RANDBETWEEN(1,8),Tabla3[],2,FALSE)</f>
        <v>Tarjetas Wifi</v>
      </c>
      <c r="F533" s="15">
        <f ca="1">VLOOKUP(RANDBETWEEN(1,12),Tabla4[],2,FALSE)</f>
        <v>365285</v>
      </c>
      <c r="G533" s="15">
        <f ca="1">Tabladatos[[#This Row],[Ingresos]]*VLOOKUP(RANDBETWEEN(1,10),Tabla5[],2,FALSE)</f>
        <v>255699.49999999997</v>
      </c>
      <c r="H533" s="15">
        <f ca="1">Tabladatos[[#This Row],[Ingresos]]-Tabladatos[[#This Row],[Costos]]</f>
        <v>109585.50000000003</v>
      </c>
    </row>
    <row r="534" spans="1:8" ht="22.5" customHeight="1" x14ac:dyDescent="0.25">
      <c r="A534" t="s">
        <v>21</v>
      </c>
      <c r="B534" t="str">
        <f ca="1">VLOOKUP(RANDBETWEEN(1,3),Tabla1[],2,FALSE)</f>
        <v xml:space="preserve">Sur </v>
      </c>
      <c r="C534">
        <v>2020</v>
      </c>
      <c r="D534" t="str">
        <f ca="1">VLOOKUP(RANDBETWEEN(1,4),Tabla2[],2,FALSE)</f>
        <v>3er Trimestre</v>
      </c>
      <c r="E534" t="str">
        <f ca="1">VLOOKUP(RANDBETWEEN(1,8),Tabla3[],2,FALSE)</f>
        <v>SSD</v>
      </c>
      <c r="F534" s="15">
        <f ca="1">VLOOKUP(RANDBETWEEN(1,12),Tabla4[],2,FALSE)</f>
        <v>95945</v>
      </c>
      <c r="G534" s="15">
        <f ca="1">Tabladatos[[#This Row],[Ingresos]]*VLOOKUP(RANDBETWEEN(1,10),Tabla5[],2,FALSE)</f>
        <v>28783.5</v>
      </c>
      <c r="H534" s="15">
        <f ca="1">Tabladatos[[#This Row],[Ingresos]]-Tabladatos[[#This Row],[Costos]]</f>
        <v>67161.5</v>
      </c>
    </row>
    <row r="535" spans="1:8" ht="22.5" customHeight="1" x14ac:dyDescent="0.25">
      <c r="A535" t="s">
        <v>21</v>
      </c>
      <c r="B535" t="str">
        <f ca="1">VLOOKUP(RANDBETWEEN(1,3),Tabla1[],2,FALSE)</f>
        <v>Central</v>
      </c>
      <c r="C535">
        <v>2020</v>
      </c>
      <c r="D535" t="str">
        <f ca="1">VLOOKUP(RANDBETWEEN(1,4),Tabla2[],2,FALSE)</f>
        <v>1er Trimestre</v>
      </c>
      <c r="E535" t="str">
        <f ca="1">VLOOKUP(RANDBETWEEN(1,8),Tabla3[],2,FALSE)</f>
        <v>Tarjetas Wifi</v>
      </c>
      <c r="F535" s="15">
        <f ca="1">VLOOKUP(RANDBETWEEN(1,12),Tabla4[],2,FALSE)</f>
        <v>490000</v>
      </c>
      <c r="G535" s="15">
        <f ca="1">Tabladatos[[#This Row],[Ingresos]]*VLOOKUP(RANDBETWEEN(1,10),Tabla5[],2,FALSE)</f>
        <v>49000</v>
      </c>
      <c r="H535" s="15">
        <f ca="1">Tabladatos[[#This Row],[Ingresos]]-Tabladatos[[#This Row],[Costos]]</f>
        <v>441000</v>
      </c>
    </row>
    <row r="536" spans="1:8" ht="22.5" customHeight="1" x14ac:dyDescent="0.25">
      <c r="A536" t="s">
        <v>21</v>
      </c>
      <c r="B536" t="str">
        <f ca="1">VLOOKUP(RANDBETWEEN(1,3),Tabla1[],2,FALSE)</f>
        <v xml:space="preserve">Sur </v>
      </c>
      <c r="C536">
        <v>2020</v>
      </c>
      <c r="D536" t="str">
        <f ca="1">VLOOKUP(RANDBETWEEN(1,4),Tabla2[],2,FALSE)</f>
        <v>3er Trimestre</v>
      </c>
      <c r="E536" t="str">
        <f ca="1">VLOOKUP(RANDBETWEEN(1,8),Tabla3[],2,FALSE)</f>
        <v>Monitores</v>
      </c>
      <c r="F536" s="15">
        <f ca="1">VLOOKUP(RANDBETWEEN(1,12),Tabla4[],2,FALSE)</f>
        <v>535990</v>
      </c>
      <c r="G536" s="15">
        <f ca="1">Tabladatos[[#This Row],[Ingresos]]*VLOOKUP(RANDBETWEEN(1,10),Tabla5[],2,FALSE)</f>
        <v>214396</v>
      </c>
      <c r="H536" s="15">
        <f ca="1">Tabladatos[[#This Row],[Ingresos]]-Tabladatos[[#This Row],[Costos]]</f>
        <v>321594</v>
      </c>
    </row>
    <row r="537" spans="1:8" ht="22.5" customHeight="1" x14ac:dyDescent="0.25">
      <c r="A537" t="s">
        <v>21</v>
      </c>
      <c r="B537" t="str">
        <f ca="1">VLOOKUP(RANDBETWEEN(1,3),Tabla1[],2,FALSE)</f>
        <v>Norte</v>
      </c>
      <c r="C537">
        <v>2020</v>
      </c>
      <c r="D537" t="str">
        <f ca="1">VLOOKUP(RANDBETWEEN(1,4),Tabla2[],2,FALSE)</f>
        <v>1er Trimestre</v>
      </c>
      <c r="E537" t="str">
        <f ca="1">VLOOKUP(RANDBETWEEN(1,8),Tabla3[],2,FALSE)</f>
        <v>Monitores</v>
      </c>
      <c r="F537" s="15">
        <f ca="1">VLOOKUP(RANDBETWEEN(1,12),Tabla4[],2,FALSE)</f>
        <v>170000</v>
      </c>
      <c r="G537" s="15">
        <f ca="1">Tabladatos[[#This Row],[Ingresos]]*VLOOKUP(RANDBETWEEN(1,10),Tabla5[],2,FALSE)</f>
        <v>68000</v>
      </c>
      <c r="H537" s="15">
        <f ca="1">Tabladatos[[#This Row],[Ingresos]]-Tabladatos[[#This Row],[Costos]]</f>
        <v>102000</v>
      </c>
    </row>
    <row r="538" spans="1:8" ht="22.5" customHeight="1" x14ac:dyDescent="0.25">
      <c r="A538" t="s">
        <v>21</v>
      </c>
      <c r="B538" t="str">
        <f ca="1">VLOOKUP(RANDBETWEEN(1,3),Tabla1[],2,FALSE)</f>
        <v xml:space="preserve">Sur </v>
      </c>
      <c r="C538">
        <v>2020</v>
      </c>
      <c r="D538" t="str">
        <f ca="1">VLOOKUP(RANDBETWEEN(1,4),Tabla2[],2,FALSE)</f>
        <v>1er Trimestre</v>
      </c>
      <c r="E538" t="str">
        <f ca="1">VLOOKUP(RANDBETWEEN(1,8),Tabla3[],2,FALSE)</f>
        <v>Monitores</v>
      </c>
      <c r="F538" s="15">
        <f ca="1">VLOOKUP(RANDBETWEEN(1,12),Tabla4[],2,FALSE)</f>
        <v>66150</v>
      </c>
      <c r="G538" s="15">
        <f ca="1">Tabladatos[[#This Row],[Ingresos]]*VLOOKUP(RANDBETWEEN(1,10),Tabla5[],2,FALSE)</f>
        <v>39690</v>
      </c>
      <c r="H538" s="15">
        <f ca="1">Tabladatos[[#This Row],[Ingresos]]-Tabladatos[[#This Row],[Costos]]</f>
        <v>26460</v>
      </c>
    </row>
    <row r="539" spans="1:8" ht="22.5" customHeight="1" x14ac:dyDescent="0.25">
      <c r="A539" t="s">
        <v>21</v>
      </c>
      <c r="B539" t="str">
        <f ca="1">VLOOKUP(RANDBETWEEN(1,3),Tabla1[],2,FALSE)</f>
        <v>Central</v>
      </c>
      <c r="C539">
        <v>2020</v>
      </c>
      <c r="D539" t="str">
        <f ca="1">VLOOKUP(RANDBETWEEN(1,4),Tabla2[],2,FALSE)</f>
        <v>3er Trimestre</v>
      </c>
      <c r="E539" t="str">
        <f ca="1">VLOOKUP(RANDBETWEEN(1,8),Tabla3[],2,FALSE)</f>
        <v>Escáners</v>
      </c>
      <c r="F539" s="15">
        <f ca="1">VLOOKUP(RANDBETWEEN(1,12),Tabla4[],2,FALSE)</f>
        <v>27300</v>
      </c>
      <c r="G539" s="15">
        <f ca="1">Tabladatos[[#This Row],[Ingresos]]*VLOOKUP(RANDBETWEEN(1,10),Tabla5[],2,FALSE)</f>
        <v>16380</v>
      </c>
      <c r="H539" s="15">
        <f ca="1">Tabladatos[[#This Row],[Ingresos]]-Tabladatos[[#This Row],[Costos]]</f>
        <v>10920</v>
      </c>
    </row>
    <row r="540" spans="1:8" ht="22.5" customHeight="1" x14ac:dyDescent="0.25">
      <c r="A540" t="s">
        <v>21</v>
      </c>
      <c r="B540" t="str">
        <f ca="1">VLOOKUP(RANDBETWEEN(1,3),Tabla1[],2,FALSE)</f>
        <v xml:space="preserve">Sur </v>
      </c>
      <c r="C540">
        <v>2020</v>
      </c>
      <c r="D540" t="str">
        <f ca="1">VLOOKUP(RANDBETWEEN(1,4),Tabla2[],2,FALSE)</f>
        <v>1er Trimestre</v>
      </c>
      <c r="E540" t="str">
        <f ca="1">VLOOKUP(RANDBETWEEN(1,8),Tabla3[],2,FALSE)</f>
        <v>Impresoras</v>
      </c>
      <c r="F540" s="15">
        <f ca="1">VLOOKUP(RANDBETWEEN(1,12),Tabla4[],2,FALSE)</f>
        <v>95945</v>
      </c>
      <c r="G540" s="15">
        <f ca="1">Tabladatos[[#This Row],[Ingresos]]*VLOOKUP(RANDBETWEEN(1,10),Tabla5[],2,FALSE)</f>
        <v>14391.75</v>
      </c>
      <c r="H540" s="15">
        <f ca="1">Tabladatos[[#This Row],[Ingresos]]-Tabladatos[[#This Row],[Costos]]</f>
        <v>81553.25</v>
      </c>
    </row>
    <row r="541" spans="1:8" ht="22.5" customHeight="1" x14ac:dyDescent="0.25">
      <c r="A541" t="s">
        <v>21</v>
      </c>
      <c r="B541" t="str">
        <f ca="1">VLOOKUP(RANDBETWEEN(1,3),Tabla1[],2,FALSE)</f>
        <v xml:space="preserve">Sur </v>
      </c>
      <c r="C541">
        <v>2020</v>
      </c>
      <c r="D541" t="str">
        <f ca="1">VLOOKUP(RANDBETWEEN(1,4),Tabla2[],2,FALSE)</f>
        <v>2do Trimestre</v>
      </c>
      <c r="E541" t="str">
        <f ca="1">VLOOKUP(RANDBETWEEN(1,8),Tabla3[],2,FALSE)</f>
        <v>Memorias USB</v>
      </c>
      <c r="F541" s="15">
        <f ca="1">VLOOKUP(RANDBETWEEN(1,12),Tabla4[],2,FALSE)</f>
        <v>95945</v>
      </c>
      <c r="G541" s="15">
        <f ca="1">Tabladatos[[#This Row],[Ingresos]]*VLOOKUP(RANDBETWEEN(1,10),Tabla5[],2,FALSE)</f>
        <v>38378</v>
      </c>
      <c r="H541" s="15">
        <f ca="1">Tabladatos[[#This Row],[Ingresos]]-Tabladatos[[#This Row],[Costos]]</f>
        <v>57567</v>
      </c>
    </row>
    <row r="542" spans="1:8" ht="22.5" customHeight="1" x14ac:dyDescent="0.25">
      <c r="A542" t="s">
        <v>21</v>
      </c>
      <c r="B542" t="str">
        <f ca="1">VLOOKUP(RANDBETWEEN(1,3),Tabla1[],2,FALSE)</f>
        <v>Norte</v>
      </c>
      <c r="C542">
        <v>2020</v>
      </c>
      <c r="D542" t="str">
        <f ca="1">VLOOKUP(RANDBETWEEN(1,4),Tabla2[],2,FALSE)</f>
        <v>4to Trimestre</v>
      </c>
      <c r="E542" t="str">
        <f ca="1">VLOOKUP(RANDBETWEEN(1,8),Tabla3[],2,FALSE)</f>
        <v>Tarjetas Wifi</v>
      </c>
      <c r="F542" s="15">
        <f ca="1">VLOOKUP(RANDBETWEEN(1,12),Tabla4[],2,FALSE)</f>
        <v>599800</v>
      </c>
      <c r="G542" s="15">
        <f ca="1">Tabladatos[[#This Row],[Ingresos]]*VLOOKUP(RANDBETWEEN(1,10),Tabla5[],2,FALSE)</f>
        <v>299900</v>
      </c>
      <c r="H542" s="15">
        <f ca="1">Tabladatos[[#This Row],[Ingresos]]-Tabladatos[[#This Row],[Costos]]</f>
        <v>299900</v>
      </c>
    </row>
    <row r="543" spans="1:8" ht="22.5" customHeight="1" x14ac:dyDescent="0.25">
      <c r="A543" t="s">
        <v>21</v>
      </c>
      <c r="B543" t="str">
        <f ca="1">VLOOKUP(RANDBETWEEN(1,3),Tabla1[],2,FALSE)</f>
        <v>Central</v>
      </c>
      <c r="C543">
        <v>2020</v>
      </c>
      <c r="D543" t="str">
        <f ca="1">VLOOKUP(RANDBETWEEN(1,4),Tabla2[],2,FALSE)</f>
        <v>2do Trimestre</v>
      </c>
      <c r="E543" t="str">
        <f ca="1">VLOOKUP(RANDBETWEEN(1,8),Tabla3[],2,FALSE)</f>
        <v>Memorias USB</v>
      </c>
      <c r="F543" s="15">
        <f ca="1">VLOOKUP(RANDBETWEEN(1,12),Tabla4[],2,FALSE)</f>
        <v>300000</v>
      </c>
      <c r="G543" s="15">
        <f ca="1">Tabladatos[[#This Row],[Ingresos]]*VLOOKUP(RANDBETWEEN(1,10),Tabla5[],2,FALSE)</f>
        <v>60000</v>
      </c>
      <c r="H543" s="15">
        <f ca="1">Tabladatos[[#This Row],[Ingresos]]-Tabladatos[[#This Row],[Costos]]</f>
        <v>240000</v>
      </c>
    </row>
    <row r="544" spans="1:8" ht="22.5" customHeight="1" x14ac:dyDescent="0.25">
      <c r="A544" t="s">
        <v>21</v>
      </c>
      <c r="B544" t="str">
        <f ca="1">VLOOKUP(RANDBETWEEN(1,3),Tabla1[],2,FALSE)</f>
        <v xml:space="preserve">Sur </v>
      </c>
      <c r="C544">
        <v>2020</v>
      </c>
      <c r="D544" t="str">
        <f ca="1">VLOOKUP(RANDBETWEEN(1,4),Tabla2[],2,FALSE)</f>
        <v>4to Trimestre</v>
      </c>
      <c r="E544" t="str">
        <f ca="1">VLOOKUP(RANDBETWEEN(1,8),Tabla3[],2,FALSE)</f>
        <v>Impresoras</v>
      </c>
      <c r="F544" s="15">
        <f ca="1">VLOOKUP(RANDBETWEEN(1,12),Tabla4[],2,FALSE)</f>
        <v>535990</v>
      </c>
      <c r="G544" s="15">
        <f ca="1">Tabladatos[[#This Row],[Ingresos]]*VLOOKUP(RANDBETWEEN(1,10),Tabla5[],2,FALSE)</f>
        <v>321594</v>
      </c>
      <c r="H544" s="15">
        <f ca="1">Tabladatos[[#This Row],[Ingresos]]-Tabladatos[[#This Row],[Costos]]</f>
        <v>214396</v>
      </c>
    </row>
    <row r="545" spans="1:8" ht="22.5" customHeight="1" x14ac:dyDescent="0.25">
      <c r="A545" t="s">
        <v>21</v>
      </c>
      <c r="B545" t="str">
        <f ca="1">VLOOKUP(RANDBETWEEN(1,3),Tabla1[],2,FALSE)</f>
        <v>Central</v>
      </c>
      <c r="C545">
        <v>2020</v>
      </c>
      <c r="D545" t="str">
        <f ca="1">VLOOKUP(RANDBETWEEN(1,4),Tabla2[],2,FALSE)</f>
        <v>3er Trimestre</v>
      </c>
      <c r="E545" t="str">
        <f ca="1">VLOOKUP(RANDBETWEEN(1,8),Tabla3[],2,FALSE)</f>
        <v>Escáners</v>
      </c>
      <c r="F545" s="15">
        <f ca="1">VLOOKUP(RANDBETWEEN(1,12),Tabla4[],2,FALSE)</f>
        <v>415765</v>
      </c>
      <c r="G545" s="15">
        <f ca="1">Tabladatos[[#This Row],[Ingresos]]*VLOOKUP(RANDBETWEEN(1,10),Tabla5[],2,FALSE)</f>
        <v>124729.5</v>
      </c>
      <c r="H545" s="15">
        <f ca="1">Tabladatos[[#This Row],[Ingresos]]-Tabladatos[[#This Row],[Costos]]</f>
        <v>291035.5</v>
      </c>
    </row>
    <row r="546" spans="1:8" ht="22.5" customHeight="1" x14ac:dyDescent="0.25">
      <c r="A546" t="s">
        <v>21</v>
      </c>
      <c r="B546" t="str">
        <f ca="1">VLOOKUP(RANDBETWEEN(1,3),Tabla1[],2,FALSE)</f>
        <v xml:space="preserve">Sur </v>
      </c>
      <c r="C546">
        <v>2020</v>
      </c>
      <c r="D546" t="str">
        <f ca="1">VLOOKUP(RANDBETWEEN(1,4),Tabla2[],2,FALSE)</f>
        <v>4to Trimestre</v>
      </c>
      <c r="E546" t="str">
        <f ca="1">VLOOKUP(RANDBETWEEN(1,8),Tabla3[],2,FALSE)</f>
        <v>SSD</v>
      </c>
      <c r="F546" s="15">
        <f ca="1">VLOOKUP(RANDBETWEEN(1,12),Tabla4[],2,FALSE)</f>
        <v>535990</v>
      </c>
      <c r="G546" s="15">
        <f ca="1">Tabladatos[[#This Row],[Ingresos]]*VLOOKUP(RANDBETWEEN(1,10),Tabla5[],2,FALSE)</f>
        <v>160797</v>
      </c>
      <c r="H546" s="15">
        <f ca="1">Tabladatos[[#This Row],[Ingresos]]-Tabladatos[[#This Row],[Costos]]</f>
        <v>375193</v>
      </c>
    </row>
    <row r="547" spans="1:8" ht="22.5" customHeight="1" x14ac:dyDescent="0.25">
      <c r="A547" t="s">
        <v>21</v>
      </c>
      <c r="B547" t="str">
        <f ca="1">VLOOKUP(RANDBETWEEN(1,3),Tabla1[],2,FALSE)</f>
        <v>Central</v>
      </c>
      <c r="C547">
        <v>2020</v>
      </c>
      <c r="D547" t="str">
        <f ca="1">VLOOKUP(RANDBETWEEN(1,4),Tabla2[],2,FALSE)</f>
        <v>4to Trimestre</v>
      </c>
      <c r="E547" t="str">
        <f ca="1">VLOOKUP(RANDBETWEEN(1,8),Tabla3[],2,FALSE)</f>
        <v>Memorias USB</v>
      </c>
      <c r="F547" s="15">
        <f ca="1">VLOOKUP(RANDBETWEEN(1,12),Tabla4[],2,FALSE)</f>
        <v>599800</v>
      </c>
      <c r="G547" s="15">
        <f ca="1">Tabladatos[[#This Row],[Ingresos]]*VLOOKUP(RANDBETWEEN(1,10),Tabla5[],2,FALSE)</f>
        <v>239920</v>
      </c>
      <c r="H547" s="15">
        <f ca="1">Tabladatos[[#This Row],[Ingresos]]-Tabladatos[[#This Row],[Costos]]</f>
        <v>359880</v>
      </c>
    </row>
    <row r="548" spans="1:8" ht="22.5" customHeight="1" x14ac:dyDescent="0.25">
      <c r="A548" t="s">
        <v>21</v>
      </c>
      <c r="B548" t="str">
        <f ca="1">VLOOKUP(RANDBETWEEN(1,3),Tabla1[],2,FALSE)</f>
        <v>Norte</v>
      </c>
      <c r="C548">
        <v>2020</v>
      </c>
      <c r="D548" t="str">
        <f ca="1">VLOOKUP(RANDBETWEEN(1,4),Tabla2[],2,FALSE)</f>
        <v>1er Trimestre</v>
      </c>
      <c r="E548" t="str">
        <f ca="1">VLOOKUP(RANDBETWEEN(1,8),Tabla3[],2,FALSE)</f>
        <v>Laptops</v>
      </c>
      <c r="F548" s="15">
        <f ca="1">VLOOKUP(RANDBETWEEN(1,12),Tabla4[],2,FALSE)</f>
        <v>95945</v>
      </c>
      <c r="G548" s="15">
        <f ca="1">Tabladatos[[#This Row],[Ingresos]]*VLOOKUP(RANDBETWEEN(1,10),Tabla5[],2,FALSE)</f>
        <v>38378</v>
      </c>
      <c r="H548" s="15">
        <f ca="1">Tabladatos[[#This Row],[Ingresos]]-Tabladatos[[#This Row],[Costos]]</f>
        <v>57567</v>
      </c>
    </row>
    <row r="549" spans="1:8" ht="22.5" customHeight="1" x14ac:dyDescent="0.25">
      <c r="A549" t="s">
        <v>21</v>
      </c>
      <c r="B549" t="str">
        <f ca="1">VLOOKUP(RANDBETWEEN(1,3),Tabla1[],2,FALSE)</f>
        <v xml:space="preserve">Sur </v>
      </c>
      <c r="C549">
        <v>2020</v>
      </c>
      <c r="D549" t="str">
        <f ca="1">VLOOKUP(RANDBETWEEN(1,4),Tabla2[],2,FALSE)</f>
        <v>1er Trimestre</v>
      </c>
      <c r="E549" t="str">
        <f ca="1">VLOOKUP(RANDBETWEEN(1,8),Tabla3[],2,FALSE)</f>
        <v>Escáners</v>
      </c>
      <c r="F549" s="15">
        <f ca="1">VLOOKUP(RANDBETWEEN(1,12),Tabla4[],2,FALSE)</f>
        <v>170000</v>
      </c>
      <c r="G549" s="15">
        <f ca="1">Tabladatos[[#This Row],[Ingresos]]*VLOOKUP(RANDBETWEEN(1,10),Tabla5[],2,FALSE)</f>
        <v>51000</v>
      </c>
      <c r="H549" s="15">
        <f ca="1">Tabladatos[[#This Row],[Ingresos]]-Tabladatos[[#This Row],[Costos]]</f>
        <v>119000</v>
      </c>
    </row>
    <row r="550" spans="1:8" ht="22.5" customHeight="1" x14ac:dyDescent="0.25">
      <c r="A550" t="s">
        <v>21</v>
      </c>
      <c r="B550" t="str">
        <f ca="1">VLOOKUP(RANDBETWEEN(1,3),Tabla1[],2,FALSE)</f>
        <v xml:space="preserve">Sur </v>
      </c>
      <c r="C550">
        <v>2020</v>
      </c>
      <c r="D550" t="str">
        <f ca="1">VLOOKUP(RANDBETWEEN(1,4),Tabla2[],2,FALSE)</f>
        <v>4to Trimestre</v>
      </c>
      <c r="E550" t="str">
        <f ca="1">VLOOKUP(RANDBETWEEN(1,8),Tabla3[],2,FALSE)</f>
        <v>Computadoras</v>
      </c>
      <c r="F550" s="15">
        <f ca="1">VLOOKUP(RANDBETWEEN(1,12),Tabla4[],2,FALSE)</f>
        <v>415765</v>
      </c>
      <c r="G550" s="15">
        <f ca="1">Tabladatos[[#This Row],[Ingresos]]*VLOOKUP(RANDBETWEEN(1,10),Tabla5[],2,FALSE)</f>
        <v>249459</v>
      </c>
      <c r="H550" s="15">
        <f ca="1">Tabladatos[[#This Row],[Ingresos]]-Tabladatos[[#This Row],[Costos]]</f>
        <v>166306</v>
      </c>
    </row>
    <row r="551" spans="1:8" ht="22.5" customHeight="1" x14ac:dyDescent="0.25">
      <c r="A551" t="s">
        <v>21</v>
      </c>
      <c r="B551" t="str">
        <f ca="1">VLOOKUP(RANDBETWEEN(1,3),Tabla1[],2,FALSE)</f>
        <v>Central</v>
      </c>
      <c r="C551">
        <v>2020</v>
      </c>
      <c r="D551" t="str">
        <f ca="1">VLOOKUP(RANDBETWEEN(1,4),Tabla2[],2,FALSE)</f>
        <v>4to Trimestre</v>
      </c>
      <c r="E551" t="str">
        <f ca="1">VLOOKUP(RANDBETWEEN(1,8),Tabla3[],2,FALSE)</f>
        <v>Monitores</v>
      </c>
      <c r="F551" s="15">
        <f ca="1">VLOOKUP(RANDBETWEEN(1,12),Tabla4[],2,FALSE)</f>
        <v>170000</v>
      </c>
      <c r="G551" s="15">
        <f ca="1">Tabladatos[[#This Row],[Ingresos]]*VLOOKUP(RANDBETWEEN(1,10),Tabla5[],2,FALSE)</f>
        <v>136000</v>
      </c>
      <c r="H551" s="15">
        <f ca="1">Tabladatos[[#This Row],[Ingresos]]-Tabladatos[[#This Row],[Costos]]</f>
        <v>34000</v>
      </c>
    </row>
    <row r="552" spans="1:8" ht="22.5" customHeight="1" x14ac:dyDescent="0.25">
      <c r="A552" t="s">
        <v>21</v>
      </c>
      <c r="B552" t="str">
        <f ca="1">VLOOKUP(RANDBETWEEN(1,3),Tabla1[],2,FALSE)</f>
        <v xml:space="preserve">Sur </v>
      </c>
      <c r="C552">
        <v>2020</v>
      </c>
      <c r="D552" t="str">
        <f ca="1">VLOOKUP(RANDBETWEEN(1,4),Tabla2[],2,FALSE)</f>
        <v>2do Trimestre</v>
      </c>
      <c r="E552" t="str">
        <f ca="1">VLOOKUP(RANDBETWEEN(1,8),Tabla3[],2,FALSE)</f>
        <v>Impresoras</v>
      </c>
      <c r="F552" s="15">
        <f ca="1">VLOOKUP(RANDBETWEEN(1,12),Tabla4[],2,FALSE)</f>
        <v>120460</v>
      </c>
      <c r="G552" s="15">
        <f ca="1">Tabladatos[[#This Row],[Ingresos]]*VLOOKUP(RANDBETWEEN(1,10),Tabla5[],2,FALSE)</f>
        <v>48184</v>
      </c>
      <c r="H552" s="15">
        <f ca="1">Tabladatos[[#This Row],[Ingresos]]-Tabladatos[[#This Row],[Costos]]</f>
        <v>72276</v>
      </c>
    </row>
    <row r="553" spans="1:8" ht="22.5" customHeight="1" x14ac:dyDescent="0.25">
      <c r="A553" t="s">
        <v>21</v>
      </c>
      <c r="B553" t="str">
        <f ca="1">VLOOKUP(RANDBETWEEN(1,3),Tabla1[],2,FALSE)</f>
        <v>Norte</v>
      </c>
      <c r="C553">
        <v>2020</v>
      </c>
      <c r="D553" t="str">
        <f ca="1">VLOOKUP(RANDBETWEEN(1,4),Tabla2[],2,FALSE)</f>
        <v>4to Trimestre</v>
      </c>
      <c r="E553" t="str">
        <f ca="1">VLOOKUP(RANDBETWEEN(1,8),Tabla3[],2,FALSE)</f>
        <v>SSD</v>
      </c>
      <c r="F553" s="15">
        <f ca="1">VLOOKUP(RANDBETWEEN(1,12),Tabla4[],2,FALSE)</f>
        <v>120460</v>
      </c>
      <c r="G553" s="15">
        <f ca="1">Tabladatos[[#This Row],[Ingresos]]*VLOOKUP(RANDBETWEEN(1,10),Tabla5[],2,FALSE)</f>
        <v>72276</v>
      </c>
      <c r="H553" s="15">
        <f ca="1">Tabladatos[[#This Row],[Ingresos]]-Tabladatos[[#This Row],[Costos]]</f>
        <v>48184</v>
      </c>
    </row>
    <row r="554" spans="1:8" ht="22.5" customHeight="1" x14ac:dyDescent="0.25">
      <c r="A554" t="s">
        <v>21</v>
      </c>
      <c r="B554" t="str">
        <f ca="1">VLOOKUP(RANDBETWEEN(1,3),Tabla1[],2,FALSE)</f>
        <v xml:space="preserve">Sur </v>
      </c>
      <c r="C554">
        <v>2020</v>
      </c>
      <c r="D554" t="str">
        <f ca="1">VLOOKUP(RANDBETWEEN(1,4),Tabla2[],2,FALSE)</f>
        <v>2do Trimestre</v>
      </c>
      <c r="E554" t="str">
        <f ca="1">VLOOKUP(RANDBETWEEN(1,8),Tabla3[],2,FALSE)</f>
        <v>Monitores</v>
      </c>
      <c r="F554" s="15">
        <f ca="1">VLOOKUP(RANDBETWEEN(1,12),Tabla4[],2,FALSE)</f>
        <v>27300</v>
      </c>
      <c r="G554" s="15">
        <f ca="1">Tabladatos[[#This Row],[Ingresos]]*VLOOKUP(RANDBETWEEN(1,10),Tabla5[],2,FALSE)</f>
        <v>21840</v>
      </c>
      <c r="H554" s="15">
        <f ca="1">Tabladatos[[#This Row],[Ingresos]]-Tabladatos[[#This Row],[Costos]]</f>
        <v>5460</v>
      </c>
    </row>
    <row r="555" spans="1:8" ht="22.5" customHeight="1" x14ac:dyDescent="0.25">
      <c r="A555" t="s">
        <v>21</v>
      </c>
      <c r="B555" t="str">
        <f ca="1">VLOOKUP(RANDBETWEEN(1,3),Tabla1[],2,FALSE)</f>
        <v>Central</v>
      </c>
      <c r="C555">
        <v>2020</v>
      </c>
      <c r="D555" t="str">
        <f ca="1">VLOOKUP(RANDBETWEEN(1,4),Tabla2[],2,FALSE)</f>
        <v>1er Trimestre</v>
      </c>
      <c r="E555" t="str">
        <f ca="1">VLOOKUP(RANDBETWEEN(1,8),Tabla3[],2,FALSE)</f>
        <v>Escáners</v>
      </c>
      <c r="F555" s="15">
        <f ca="1">VLOOKUP(RANDBETWEEN(1,12),Tabla4[],2,FALSE)</f>
        <v>300000</v>
      </c>
      <c r="G555" s="15">
        <f ca="1">Tabladatos[[#This Row],[Ingresos]]*VLOOKUP(RANDBETWEEN(1,10),Tabla5[],2,FALSE)</f>
        <v>210000</v>
      </c>
      <c r="H555" s="15">
        <f ca="1">Tabladatos[[#This Row],[Ingresos]]-Tabladatos[[#This Row],[Costos]]</f>
        <v>90000</v>
      </c>
    </row>
    <row r="556" spans="1:8" ht="22.5" customHeight="1" x14ac:dyDescent="0.25">
      <c r="A556" t="s">
        <v>21</v>
      </c>
      <c r="B556" t="str">
        <f ca="1">VLOOKUP(RANDBETWEEN(1,3),Tabla1[],2,FALSE)</f>
        <v>Central</v>
      </c>
      <c r="C556">
        <v>2020</v>
      </c>
      <c r="D556" t="str">
        <f ca="1">VLOOKUP(RANDBETWEEN(1,4),Tabla2[],2,FALSE)</f>
        <v>2do Trimestre</v>
      </c>
      <c r="E556" t="str">
        <f ca="1">VLOOKUP(RANDBETWEEN(1,8),Tabla3[],2,FALSE)</f>
        <v>SSD</v>
      </c>
      <c r="F556" s="15">
        <f ca="1">VLOOKUP(RANDBETWEEN(1,12),Tabla4[],2,FALSE)</f>
        <v>415765</v>
      </c>
      <c r="G556" s="15">
        <f ca="1">Tabladatos[[#This Row],[Ingresos]]*VLOOKUP(RANDBETWEEN(1,10),Tabla5[],2,FALSE)</f>
        <v>83153</v>
      </c>
      <c r="H556" s="15">
        <f ca="1">Tabladatos[[#This Row],[Ingresos]]-Tabladatos[[#This Row],[Costos]]</f>
        <v>332612</v>
      </c>
    </row>
    <row r="557" spans="1:8" ht="22.5" customHeight="1" x14ac:dyDescent="0.25">
      <c r="A557" t="s">
        <v>21</v>
      </c>
      <c r="B557" t="str">
        <f ca="1">VLOOKUP(RANDBETWEEN(1,3),Tabla1[],2,FALSE)</f>
        <v>Central</v>
      </c>
      <c r="C557">
        <v>2020</v>
      </c>
      <c r="D557" t="str">
        <f ca="1">VLOOKUP(RANDBETWEEN(1,4),Tabla2[],2,FALSE)</f>
        <v>4to Trimestre</v>
      </c>
      <c r="E557" t="str">
        <f ca="1">VLOOKUP(RANDBETWEEN(1,8),Tabla3[],2,FALSE)</f>
        <v>Tarjetas Wifi</v>
      </c>
      <c r="F557" s="15">
        <f ca="1">VLOOKUP(RANDBETWEEN(1,12),Tabla4[],2,FALSE)</f>
        <v>95945</v>
      </c>
      <c r="G557" s="15">
        <f ca="1">Tabladatos[[#This Row],[Ingresos]]*VLOOKUP(RANDBETWEEN(1,10),Tabla5[],2,FALSE)</f>
        <v>28783.5</v>
      </c>
      <c r="H557" s="15">
        <f ca="1">Tabladatos[[#This Row],[Ingresos]]-Tabladatos[[#This Row],[Costos]]</f>
        <v>67161.5</v>
      </c>
    </row>
    <row r="558" spans="1:8" ht="22.5" customHeight="1" x14ac:dyDescent="0.25">
      <c r="A558" t="s">
        <v>21</v>
      </c>
      <c r="B558" t="str">
        <f ca="1">VLOOKUP(RANDBETWEEN(1,3),Tabla1[],2,FALSE)</f>
        <v>Central</v>
      </c>
      <c r="C558">
        <v>2020</v>
      </c>
      <c r="D558" t="str">
        <f ca="1">VLOOKUP(RANDBETWEEN(1,4),Tabla2[],2,FALSE)</f>
        <v>3er Trimestre</v>
      </c>
      <c r="E558" t="str">
        <f ca="1">VLOOKUP(RANDBETWEEN(1,8),Tabla3[],2,FALSE)</f>
        <v>Computadoras</v>
      </c>
      <c r="F558" s="15">
        <f ca="1">VLOOKUP(RANDBETWEEN(1,12),Tabla4[],2,FALSE)</f>
        <v>228990</v>
      </c>
      <c r="G558" s="15">
        <f ca="1">Tabladatos[[#This Row],[Ingresos]]*VLOOKUP(RANDBETWEEN(1,10),Tabla5[],2,FALSE)</f>
        <v>68697</v>
      </c>
      <c r="H558" s="15">
        <f ca="1">Tabladatos[[#This Row],[Ingresos]]-Tabladatos[[#This Row],[Costos]]</f>
        <v>160293</v>
      </c>
    </row>
    <row r="559" spans="1:8" ht="22.5" customHeight="1" x14ac:dyDescent="0.25">
      <c r="A559" t="s">
        <v>21</v>
      </c>
      <c r="B559" t="str">
        <f ca="1">VLOOKUP(RANDBETWEEN(1,3),Tabla1[],2,FALSE)</f>
        <v>Central</v>
      </c>
      <c r="C559">
        <v>2020</v>
      </c>
      <c r="D559" t="str">
        <f ca="1">VLOOKUP(RANDBETWEEN(1,4),Tabla2[],2,FALSE)</f>
        <v>1er Trimestre</v>
      </c>
      <c r="E559" t="str">
        <f ca="1">VLOOKUP(RANDBETWEEN(1,8),Tabla3[],2,FALSE)</f>
        <v>Monitores</v>
      </c>
      <c r="F559" s="15">
        <f ca="1">VLOOKUP(RANDBETWEEN(1,12),Tabla4[],2,FALSE)</f>
        <v>27300</v>
      </c>
      <c r="G559" s="15">
        <f ca="1">Tabladatos[[#This Row],[Ingresos]]*VLOOKUP(RANDBETWEEN(1,10),Tabla5[],2,FALSE)</f>
        <v>13650</v>
      </c>
      <c r="H559" s="15">
        <f ca="1">Tabladatos[[#This Row],[Ingresos]]-Tabladatos[[#This Row],[Costos]]</f>
        <v>13650</v>
      </c>
    </row>
    <row r="560" spans="1:8" ht="22.5" customHeight="1" x14ac:dyDescent="0.25">
      <c r="A560" t="s">
        <v>21</v>
      </c>
      <c r="B560" t="str">
        <f ca="1">VLOOKUP(RANDBETWEEN(1,3),Tabla1[],2,FALSE)</f>
        <v>Central</v>
      </c>
      <c r="C560">
        <v>2020</v>
      </c>
      <c r="D560" t="str">
        <f ca="1">VLOOKUP(RANDBETWEEN(1,4),Tabla2[],2,FALSE)</f>
        <v>1er Trimestre</v>
      </c>
      <c r="E560" t="str">
        <f ca="1">VLOOKUP(RANDBETWEEN(1,8),Tabla3[],2,FALSE)</f>
        <v>Monitores</v>
      </c>
      <c r="F560" s="15">
        <f ca="1">VLOOKUP(RANDBETWEEN(1,12),Tabla4[],2,FALSE)</f>
        <v>415765</v>
      </c>
      <c r="G560" s="15">
        <f ca="1">Tabladatos[[#This Row],[Ingresos]]*VLOOKUP(RANDBETWEEN(1,10),Tabla5[],2,FALSE)</f>
        <v>41576.5</v>
      </c>
      <c r="H560" s="15">
        <f ca="1">Tabladatos[[#This Row],[Ingresos]]-Tabladatos[[#This Row],[Costos]]</f>
        <v>374188.5</v>
      </c>
    </row>
    <row r="561" spans="1:8" ht="22.5" customHeight="1" x14ac:dyDescent="0.25">
      <c r="A561" t="s">
        <v>21</v>
      </c>
      <c r="B561" t="str">
        <f ca="1">VLOOKUP(RANDBETWEEN(1,3),Tabla1[],2,FALSE)</f>
        <v>Norte</v>
      </c>
      <c r="C561">
        <v>2020</v>
      </c>
      <c r="D561" t="str">
        <f ca="1">VLOOKUP(RANDBETWEEN(1,4),Tabla2[],2,FALSE)</f>
        <v>1er Trimestre</v>
      </c>
      <c r="E561" t="str">
        <f ca="1">VLOOKUP(RANDBETWEEN(1,8),Tabla3[],2,FALSE)</f>
        <v>SSD</v>
      </c>
      <c r="F561" s="15">
        <f ca="1">VLOOKUP(RANDBETWEEN(1,12),Tabla4[],2,FALSE)</f>
        <v>66150</v>
      </c>
      <c r="G561" s="15">
        <f ca="1">Tabladatos[[#This Row],[Ingresos]]*VLOOKUP(RANDBETWEEN(1,10),Tabla5[],2,FALSE)</f>
        <v>46305</v>
      </c>
      <c r="H561" s="15">
        <f ca="1">Tabladatos[[#This Row],[Ingresos]]-Tabladatos[[#This Row],[Costos]]</f>
        <v>19845</v>
      </c>
    </row>
    <row r="562" spans="1:8" ht="22.5" customHeight="1" x14ac:dyDescent="0.25">
      <c r="A562" t="s">
        <v>21</v>
      </c>
      <c r="B562" t="str">
        <f ca="1">VLOOKUP(RANDBETWEEN(1,3),Tabla1[],2,FALSE)</f>
        <v>Norte</v>
      </c>
      <c r="C562">
        <v>2020</v>
      </c>
      <c r="D562" t="str">
        <f ca="1">VLOOKUP(RANDBETWEEN(1,4),Tabla2[],2,FALSE)</f>
        <v>2do Trimestre</v>
      </c>
      <c r="E562" t="str">
        <f ca="1">VLOOKUP(RANDBETWEEN(1,8),Tabla3[],2,FALSE)</f>
        <v>Computadoras</v>
      </c>
      <c r="F562" s="15">
        <f ca="1">VLOOKUP(RANDBETWEEN(1,12),Tabla4[],2,FALSE)</f>
        <v>365285</v>
      </c>
      <c r="G562" s="15">
        <f ca="1">Tabladatos[[#This Row],[Ingresos]]*VLOOKUP(RANDBETWEEN(1,10),Tabla5[],2,FALSE)</f>
        <v>73057</v>
      </c>
      <c r="H562" s="15">
        <f ca="1">Tabladatos[[#This Row],[Ingresos]]-Tabladatos[[#This Row],[Costos]]</f>
        <v>292228</v>
      </c>
    </row>
    <row r="563" spans="1:8" ht="22.5" customHeight="1" x14ac:dyDescent="0.25">
      <c r="A563" t="s">
        <v>21</v>
      </c>
      <c r="B563" t="str">
        <f ca="1">VLOOKUP(RANDBETWEEN(1,3),Tabla1[],2,FALSE)</f>
        <v>Central</v>
      </c>
      <c r="C563">
        <v>2020</v>
      </c>
      <c r="D563" t="str">
        <f ca="1">VLOOKUP(RANDBETWEEN(1,4),Tabla2[],2,FALSE)</f>
        <v>3er Trimestre</v>
      </c>
      <c r="E563" t="str">
        <f ca="1">VLOOKUP(RANDBETWEEN(1,8),Tabla3[],2,FALSE)</f>
        <v>Computadoras</v>
      </c>
      <c r="F563" s="15">
        <f ca="1">VLOOKUP(RANDBETWEEN(1,12),Tabla4[],2,FALSE)</f>
        <v>27300</v>
      </c>
      <c r="G563" s="15">
        <f ca="1">Tabladatos[[#This Row],[Ingresos]]*VLOOKUP(RANDBETWEEN(1,10),Tabla5[],2,FALSE)</f>
        <v>6825</v>
      </c>
      <c r="H563" s="15">
        <f ca="1">Tabladatos[[#This Row],[Ingresos]]-Tabladatos[[#This Row],[Costos]]</f>
        <v>20475</v>
      </c>
    </row>
    <row r="564" spans="1:8" ht="22.5" customHeight="1" x14ac:dyDescent="0.25">
      <c r="A564" t="s">
        <v>21</v>
      </c>
      <c r="B564" t="str">
        <f ca="1">VLOOKUP(RANDBETWEEN(1,3),Tabla1[],2,FALSE)</f>
        <v>Norte</v>
      </c>
      <c r="C564">
        <v>2020</v>
      </c>
      <c r="D564" t="str">
        <f ca="1">VLOOKUP(RANDBETWEEN(1,4),Tabla2[],2,FALSE)</f>
        <v>4to Trimestre</v>
      </c>
      <c r="E564" t="str">
        <f ca="1">VLOOKUP(RANDBETWEEN(1,8),Tabla3[],2,FALSE)</f>
        <v>Tarjetas Wifi</v>
      </c>
      <c r="F564" s="15">
        <f ca="1">VLOOKUP(RANDBETWEEN(1,12),Tabla4[],2,FALSE)</f>
        <v>228990</v>
      </c>
      <c r="G564" s="15">
        <f ca="1">Tabladatos[[#This Row],[Ingresos]]*VLOOKUP(RANDBETWEEN(1,10),Tabla5[],2,FALSE)</f>
        <v>22899</v>
      </c>
      <c r="H564" s="15">
        <f ca="1">Tabladatos[[#This Row],[Ingresos]]-Tabladatos[[#This Row],[Costos]]</f>
        <v>206091</v>
      </c>
    </row>
    <row r="565" spans="1:8" ht="22.5" customHeight="1" x14ac:dyDescent="0.25">
      <c r="A565" t="s">
        <v>22</v>
      </c>
      <c r="B565" t="str">
        <f ca="1">VLOOKUP(RANDBETWEEN(1,3),Tabla1[],2,FALSE)</f>
        <v>Central</v>
      </c>
      <c r="C565">
        <v>2020</v>
      </c>
      <c r="D565" t="str">
        <f ca="1">VLOOKUP(RANDBETWEEN(1,4),Tabla2[],2,FALSE)</f>
        <v>3er Trimestre</v>
      </c>
      <c r="E565" t="str">
        <f ca="1">VLOOKUP(RANDBETWEEN(1,8),Tabla3[],2,FALSE)</f>
        <v>Tarjetas Wifi</v>
      </c>
      <c r="F565" s="15">
        <f ca="1">VLOOKUP(RANDBETWEEN(1,12),Tabla4[],2,FALSE)</f>
        <v>95945</v>
      </c>
      <c r="G565" s="15">
        <f ca="1">Tabladatos[[#This Row],[Ingresos]]*VLOOKUP(RANDBETWEEN(1,10),Tabla5[],2,FALSE)</f>
        <v>23986.25</v>
      </c>
      <c r="H565" s="15">
        <f ca="1">Tabladatos[[#This Row],[Ingresos]]-Tabladatos[[#This Row],[Costos]]</f>
        <v>71958.75</v>
      </c>
    </row>
    <row r="566" spans="1:8" ht="22.5" customHeight="1" x14ac:dyDescent="0.25">
      <c r="A566" t="s">
        <v>22</v>
      </c>
      <c r="B566" t="str">
        <f ca="1">VLOOKUP(RANDBETWEEN(1,3),Tabla1[],2,FALSE)</f>
        <v>Norte</v>
      </c>
      <c r="C566">
        <v>2020</v>
      </c>
      <c r="D566" t="str">
        <f ca="1">VLOOKUP(RANDBETWEEN(1,4),Tabla2[],2,FALSE)</f>
        <v>3er Trimestre</v>
      </c>
      <c r="E566" t="str">
        <f ca="1">VLOOKUP(RANDBETWEEN(1,8),Tabla3[],2,FALSE)</f>
        <v>Impresoras</v>
      </c>
      <c r="F566" s="15">
        <f ca="1">VLOOKUP(RANDBETWEEN(1,12),Tabla4[],2,FALSE)</f>
        <v>95945</v>
      </c>
      <c r="G566" s="15">
        <f ca="1">Tabladatos[[#This Row],[Ingresos]]*VLOOKUP(RANDBETWEEN(1,10),Tabla5[],2,FALSE)</f>
        <v>67161.5</v>
      </c>
      <c r="H566" s="15">
        <f ca="1">Tabladatos[[#This Row],[Ingresos]]-Tabladatos[[#This Row],[Costos]]</f>
        <v>28783.5</v>
      </c>
    </row>
    <row r="567" spans="1:8" ht="22.5" customHeight="1" x14ac:dyDescent="0.25">
      <c r="A567" t="s">
        <v>22</v>
      </c>
      <c r="B567" t="str">
        <f ca="1">VLOOKUP(RANDBETWEEN(1,3),Tabla1[],2,FALSE)</f>
        <v xml:space="preserve">Sur </v>
      </c>
      <c r="C567">
        <v>2020</v>
      </c>
      <c r="D567" t="str">
        <f ca="1">VLOOKUP(RANDBETWEEN(1,4),Tabla2[],2,FALSE)</f>
        <v>2do Trimestre</v>
      </c>
      <c r="E567" t="str">
        <f ca="1">VLOOKUP(RANDBETWEEN(1,8),Tabla3[],2,FALSE)</f>
        <v>Laptops</v>
      </c>
      <c r="F567" s="15">
        <f ca="1">VLOOKUP(RANDBETWEEN(1,12),Tabla4[],2,FALSE)</f>
        <v>535990</v>
      </c>
      <c r="G567" s="15">
        <f ca="1">Tabladatos[[#This Row],[Ingresos]]*VLOOKUP(RANDBETWEEN(1,10),Tabla5[],2,FALSE)</f>
        <v>428792</v>
      </c>
      <c r="H567" s="15">
        <f ca="1">Tabladatos[[#This Row],[Ingresos]]-Tabladatos[[#This Row],[Costos]]</f>
        <v>107198</v>
      </c>
    </row>
    <row r="568" spans="1:8" ht="22.5" customHeight="1" x14ac:dyDescent="0.25">
      <c r="A568" t="s">
        <v>22</v>
      </c>
      <c r="B568" t="str">
        <f ca="1">VLOOKUP(RANDBETWEEN(1,3),Tabla1[],2,FALSE)</f>
        <v>Norte</v>
      </c>
      <c r="C568">
        <v>2020</v>
      </c>
      <c r="D568" t="str">
        <f ca="1">VLOOKUP(RANDBETWEEN(1,4),Tabla2[],2,FALSE)</f>
        <v>3er Trimestre</v>
      </c>
      <c r="E568" t="str">
        <f ca="1">VLOOKUP(RANDBETWEEN(1,8),Tabla3[],2,FALSE)</f>
        <v>Tarjetas Wifi</v>
      </c>
      <c r="F568" s="15">
        <f ca="1">VLOOKUP(RANDBETWEEN(1,12),Tabla4[],2,FALSE)</f>
        <v>95945</v>
      </c>
      <c r="G568" s="15">
        <f ca="1">Tabladatos[[#This Row],[Ingresos]]*VLOOKUP(RANDBETWEEN(1,10),Tabla5[],2,FALSE)</f>
        <v>38378</v>
      </c>
      <c r="H568" s="15">
        <f ca="1">Tabladatos[[#This Row],[Ingresos]]-Tabladatos[[#This Row],[Costos]]</f>
        <v>57567</v>
      </c>
    </row>
    <row r="569" spans="1:8" ht="22.5" customHeight="1" x14ac:dyDescent="0.25">
      <c r="A569" t="s">
        <v>22</v>
      </c>
      <c r="B569" t="str">
        <f ca="1">VLOOKUP(RANDBETWEEN(1,3),Tabla1[],2,FALSE)</f>
        <v xml:space="preserve">Sur </v>
      </c>
      <c r="C569">
        <v>2020</v>
      </c>
      <c r="D569" t="str">
        <f ca="1">VLOOKUP(RANDBETWEEN(1,4),Tabla2[],2,FALSE)</f>
        <v>2do Trimestre</v>
      </c>
      <c r="E569" t="str">
        <f ca="1">VLOOKUP(RANDBETWEEN(1,8),Tabla3[],2,FALSE)</f>
        <v>Computadoras</v>
      </c>
      <c r="F569" s="15">
        <f ca="1">VLOOKUP(RANDBETWEEN(1,12),Tabla4[],2,FALSE)</f>
        <v>66150</v>
      </c>
      <c r="G569" s="15">
        <f ca="1">Tabladatos[[#This Row],[Ingresos]]*VLOOKUP(RANDBETWEEN(1,10),Tabla5[],2,FALSE)</f>
        <v>9922.5</v>
      </c>
      <c r="H569" s="15">
        <f ca="1">Tabladatos[[#This Row],[Ingresos]]-Tabladatos[[#This Row],[Costos]]</f>
        <v>56227.5</v>
      </c>
    </row>
    <row r="570" spans="1:8" ht="22.5" customHeight="1" x14ac:dyDescent="0.25">
      <c r="A570" t="s">
        <v>22</v>
      </c>
      <c r="B570" t="str">
        <f ca="1">VLOOKUP(RANDBETWEEN(1,3),Tabla1[],2,FALSE)</f>
        <v>Central</v>
      </c>
      <c r="C570">
        <v>2020</v>
      </c>
      <c r="D570" t="str">
        <f ca="1">VLOOKUP(RANDBETWEEN(1,4),Tabla2[],2,FALSE)</f>
        <v>2do Trimestre</v>
      </c>
      <c r="E570" t="str">
        <f ca="1">VLOOKUP(RANDBETWEEN(1,8),Tabla3[],2,FALSE)</f>
        <v>Computadoras</v>
      </c>
      <c r="F570" s="15">
        <f ca="1">VLOOKUP(RANDBETWEEN(1,12),Tabla4[],2,FALSE)</f>
        <v>599800</v>
      </c>
      <c r="G570" s="15">
        <f ca="1">Tabladatos[[#This Row],[Ingresos]]*VLOOKUP(RANDBETWEEN(1,10),Tabla5[],2,FALSE)</f>
        <v>299900</v>
      </c>
      <c r="H570" s="15">
        <f ca="1">Tabladatos[[#This Row],[Ingresos]]-Tabladatos[[#This Row],[Costos]]</f>
        <v>299900</v>
      </c>
    </row>
    <row r="571" spans="1:8" ht="22.5" customHeight="1" x14ac:dyDescent="0.25">
      <c r="A571" t="s">
        <v>22</v>
      </c>
      <c r="B571" t="str">
        <f ca="1">VLOOKUP(RANDBETWEEN(1,3),Tabla1[],2,FALSE)</f>
        <v>Central</v>
      </c>
      <c r="C571">
        <v>2020</v>
      </c>
      <c r="D571" t="str">
        <f ca="1">VLOOKUP(RANDBETWEEN(1,4),Tabla2[],2,FALSE)</f>
        <v>1er Trimestre</v>
      </c>
      <c r="E571" t="str">
        <f ca="1">VLOOKUP(RANDBETWEEN(1,8),Tabla3[],2,FALSE)</f>
        <v>Memorias USB</v>
      </c>
      <c r="F571" s="15">
        <f ca="1">VLOOKUP(RANDBETWEEN(1,12),Tabla4[],2,FALSE)</f>
        <v>415765</v>
      </c>
      <c r="G571" s="15">
        <f ca="1">Tabladatos[[#This Row],[Ingresos]]*VLOOKUP(RANDBETWEEN(1,10),Tabla5[],2,FALSE)</f>
        <v>332612</v>
      </c>
      <c r="H571" s="15">
        <f ca="1">Tabladatos[[#This Row],[Ingresos]]-Tabladatos[[#This Row],[Costos]]</f>
        <v>83153</v>
      </c>
    </row>
    <row r="572" spans="1:8" ht="22.5" customHeight="1" x14ac:dyDescent="0.25">
      <c r="A572" t="s">
        <v>22</v>
      </c>
      <c r="B572" t="str">
        <f ca="1">VLOOKUP(RANDBETWEEN(1,3),Tabla1[],2,FALSE)</f>
        <v xml:space="preserve">Sur </v>
      </c>
      <c r="C572">
        <v>2020</v>
      </c>
      <c r="D572" t="str">
        <f ca="1">VLOOKUP(RANDBETWEEN(1,4),Tabla2[],2,FALSE)</f>
        <v>3er Trimestre</v>
      </c>
      <c r="E572" t="str">
        <f ca="1">VLOOKUP(RANDBETWEEN(1,8),Tabla3[],2,FALSE)</f>
        <v>Monitores</v>
      </c>
      <c r="F572" s="15">
        <f ca="1">VLOOKUP(RANDBETWEEN(1,12),Tabla4[],2,FALSE)</f>
        <v>27300</v>
      </c>
      <c r="G572" s="15">
        <f ca="1">Tabladatos[[#This Row],[Ingresos]]*VLOOKUP(RANDBETWEEN(1,10),Tabla5[],2,FALSE)</f>
        <v>21840</v>
      </c>
      <c r="H572" s="15">
        <f ca="1">Tabladatos[[#This Row],[Ingresos]]-Tabladatos[[#This Row],[Costos]]</f>
        <v>5460</v>
      </c>
    </row>
    <row r="573" spans="1:8" ht="22.5" customHeight="1" x14ac:dyDescent="0.25">
      <c r="A573" t="s">
        <v>22</v>
      </c>
      <c r="B573" t="str">
        <f ca="1">VLOOKUP(RANDBETWEEN(1,3),Tabla1[],2,FALSE)</f>
        <v xml:space="preserve">Sur </v>
      </c>
      <c r="C573">
        <v>2020</v>
      </c>
      <c r="D573" t="str">
        <f ca="1">VLOOKUP(RANDBETWEEN(1,4),Tabla2[],2,FALSE)</f>
        <v>4to Trimestre</v>
      </c>
      <c r="E573" t="str">
        <f ca="1">VLOOKUP(RANDBETWEEN(1,8),Tabla3[],2,FALSE)</f>
        <v>Memorias USB</v>
      </c>
      <c r="F573" s="15">
        <f ca="1">VLOOKUP(RANDBETWEEN(1,12),Tabla4[],2,FALSE)</f>
        <v>120460</v>
      </c>
      <c r="G573" s="15">
        <f ca="1">Tabladatos[[#This Row],[Ingresos]]*VLOOKUP(RANDBETWEEN(1,10),Tabla5[],2,FALSE)</f>
        <v>12046</v>
      </c>
      <c r="H573" s="15">
        <f ca="1">Tabladatos[[#This Row],[Ingresos]]-Tabladatos[[#This Row],[Costos]]</f>
        <v>108414</v>
      </c>
    </row>
    <row r="574" spans="1:8" ht="22.5" customHeight="1" x14ac:dyDescent="0.25">
      <c r="A574" t="s">
        <v>22</v>
      </c>
      <c r="B574" t="str">
        <f ca="1">VLOOKUP(RANDBETWEEN(1,3),Tabla1[],2,FALSE)</f>
        <v>Norte</v>
      </c>
      <c r="C574">
        <v>2020</v>
      </c>
      <c r="D574" t="str">
        <f ca="1">VLOOKUP(RANDBETWEEN(1,4),Tabla2[],2,FALSE)</f>
        <v>2do Trimestre</v>
      </c>
      <c r="E574" t="str">
        <f ca="1">VLOOKUP(RANDBETWEEN(1,8),Tabla3[],2,FALSE)</f>
        <v>SSD</v>
      </c>
      <c r="F574" s="15">
        <f ca="1">VLOOKUP(RANDBETWEEN(1,12),Tabla4[],2,FALSE)</f>
        <v>365285</v>
      </c>
      <c r="G574" s="15">
        <f ca="1">Tabladatos[[#This Row],[Ingresos]]*VLOOKUP(RANDBETWEEN(1,10),Tabla5[],2,FALSE)</f>
        <v>36528.5</v>
      </c>
      <c r="H574" s="15">
        <f ca="1">Tabladatos[[#This Row],[Ingresos]]-Tabladatos[[#This Row],[Costos]]</f>
        <v>328756.5</v>
      </c>
    </row>
    <row r="575" spans="1:8" ht="22.5" customHeight="1" x14ac:dyDescent="0.25">
      <c r="A575" t="s">
        <v>22</v>
      </c>
      <c r="B575" t="str">
        <f ca="1">VLOOKUP(RANDBETWEEN(1,3),Tabla1[],2,FALSE)</f>
        <v>Central</v>
      </c>
      <c r="C575">
        <v>2020</v>
      </c>
      <c r="D575" t="str">
        <f ca="1">VLOOKUP(RANDBETWEEN(1,4),Tabla2[],2,FALSE)</f>
        <v>4to Trimestre</v>
      </c>
      <c r="E575" t="str">
        <f ca="1">VLOOKUP(RANDBETWEEN(1,8),Tabla3[],2,FALSE)</f>
        <v>Tarjetas Wifi</v>
      </c>
      <c r="F575" s="15">
        <f ca="1">VLOOKUP(RANDBETWEEN(1,12),Tabla4[],2,FALSE)</f>
        <v>27300</v>
      </c>
      <c r="G575" s="15">
        <f ca="1">Tabladatos[[#This Row],[Ingresos]]*VLOOKUP(RANDBETWEEN(1,10),Tabla5[],2,FALSE)</f>
        <v>2730</v>
      </c>
      <c r="H575" s="15">
        <f ca="1">Tabladatos[[#This Row],[Ingresos]]-Tabladatos[[#This Row],[Costos]]</f>
        <v>24570</v>
      </c>
    </row>
    <row r="576" spans="1:8" ht="22.5" customHeight="1" x14ac:dyDescent="0.25">
      <c r="A576" t="s">
        <v>22</v>
      </c>
      <c r="B576" t="str">
        <f ca="1">VLOOKUP(RANDBETWEEN(1,3),Tabla1[],2,FALSE)</f>
        <v>Norte</v>
      </c>
      <c r="C576">
        <v>2020</v>
      </c>
      <c r="D576" t="str">
        <f ca="1">VLOOKUP(RANDBETWEEN(1,4),Tabla2[],2,FALSE)</f>
        <v>4to Trimestre</v>
      </c>
      <c r="E576" t="str">
        <f ca="1">VLOOKUP(RANDBETWEEN(1,8),Tabla3[],2,FALSE)</f>
        <v>Computadoras</v>
      </c>
      <c r="F576" s="15">
        <f ca="1">VLOOKUP(RANDBETWEEN(1,12),Tabla4[],2,FALSE)</f>
        <v>415765</v>
      </c>
      <c r="G576" s="15">
        <f ca="1">Tabladatos[[#This Row],[Ingresos]]*VLOOKUP(RANDBETWEEN(1,10),Tabla5[],2,FALSE)</f>
        <v>249459</v>
      </c>
      <c r="H576" s="15">
        <f ca="1">Tabladatos[[#This Row],[Ingresos]]-Tabladatos[[#This Row],[Costos]]</f>
        <v>166306</v>
      </c>
    </row>
    <row r="577" spans="1:8" ht="22.5" customHeight="1" x14ac:dyDescent="0.25">
      <c r="A577" t="s">
        <v>22</v>
      </c>
      <c r="B577" t="str">
        <f ca="1">VLOOKUP(RANDBETWEEN(1,3),Tabla1[],2,FALSE)</f>
        <v>Central</v>
      </c>
      <c r="C577">
        <v>2020</v>
      </c>
      <c r="D577" t="str">
        <f ca="1">VLOOKUP(RANDBETWEEN(1,4),Tabla2[],2,FALSE)</f>
        <v>3er Trimestre</v>
      </c>
      <c r="E577" t="str">
        <f ca="1">VLOOKUP(RANDBETWEEN(1,8),Tabla3[],2,FALSE)</f>
        <v>Tarjetas Wifi</v>
      </c>
      <c r="F577" s="15">
        <f ca="1">VLOOKUP(RANDBETWEEN(1,12),Tabla4[],2,FALSE)</f>
        <v>95945</v>
      </c>
      <c r="G577" s="15">
        <f ca="1">Tabladatos[[#This Row],[Ingresos]]*VLOOKUP(RANDBETWEEN(1,10),Tabla5[],2,FALSE)</f>
        <v>67161.5</v>
      </c>
      <c r="H577" s="15">
        <f ca="1">Tabladatos[[#This Row],[Ingresos]]-Tabladatos[[#This Row],[Costos]]</f>
        <v>28783.5</v>
      </c>
    </row>
    <row r="578" spans="1:8" ht="22.5" customHeight="1" x14ac:dyDescent="0.25">
      <c r="A578" t="s">
        <v>22</v>
      </c>
      <c r="B578" t="str">
        <f ca="1">VLOOKUP(RANDBETWEEN(1,3),Tabla1[],2,FALSE)</f>
        <v>Central</v>
      </c>
      <c r="C578">
        <v>2020</v>
      </c>
      <c r="D578" t="str">
        <f ca="1">VLOOKUP(RANDBETWEEN(1,4),Tabla2[],2,FALSE)</f>
        <v>3er Trimestre</v>
      </c>
      <c r="E578" t="str">
        <f ca="1">VLOOKUP(RANDBETWEEN(1,8),Tabla3[],2,FALSE)</f>
        <v>Laptops</v>
      </c>
      <c r="F578" s="15">
        <f ca="1">VLOOKUP(RANDBETWEEN(1,12),Tabla4[],2,FALSE)</f>
        <v>95945</v>
      </c>
      <c r="G578" s="15">
        <f ca="1">Tabladatos[[#This Row],[Ingresos]]*VLOOKUP(RANDBETWEEN(1,10),Tabla5[],2,FALSE)</f>
        <v>19189</v>
      </c>
      <c r="H578" s="15">
        <f ca="1">Tabladatos[[#This Row],[Ingresos]]-Tabladatos[[#This Row],[Costos]]</f>
        <v>76756</v>
      </c>
    </row>
    <row r="579" spans="1:8" ht="22.5" customHeight="1" x14ac:dyDescent="0.25">
      <c r="A579" t="s">
        <v>22</v>
      </c>
      <c r="B579" t="str">
        <f ca="1">VLOOKUP(RANDBETWEEN(1,3),Tabla1[],2,FALSE)</f>
        <v xml:space="preserve">Sur </v>
      </c>
      <c r="C579">
        <v>2020</v>
      </c>
      <c r="D579" t="str">
        <f ca="1">VLOOKUP(RANDBETWEEN(1,4),Tabla2[],2,FALSE)</f>
        <v>4to Trimestre</v>
      </c>
      <c r="E579" t="str">
        <f ca="1">VLOOKUP(RANDBETWEEN(1,8),Tabla3[],2,FALSE)</f>
        <v>Memorias USB</v>
      </c>
      <c r="F579" s="15">
        <f ca="1">VLOOKUP(RANDBETWEEN(1,12),Tabla4[],2,FALSE)</f>
        <v>365285</v>
      </c>
      <c r="G579" s="15">
        <f ca="1">Tabladatos[[#This Row],[Ingresos]]*VLOOKUP(RANDBETWEEN(1,10),Tabla5[],2,FALSE)</f>
        <v>255699.49999999997</v>
      </c>
      <c r="H579" s="15">
        <f ca="1">Tabladatos[[#This Row],[Ingresos]]-Tabladatos[[#This Row],[Costos]]</f>
        <v>109585.50000000003</v>
      </c>
    </row>
    <row r="580" spans="1:8" ht="22.5" customHeight="1" x14ac:dyDescent="0.25">
      <c r="A580" t="s">
        <v>22</v>
      </c>
      <c r="B580" t="str">
        <f ca="1">VLOOKUP(RANDBETWEEN(1,3),Tabla1[],2,FALSE)</f>
        <v>Central</v>
      </c>
      <c r="C580">
        <v>2020</v>
      </c>
      <c r="D580" t="str">
        <f ca="1">VLOOKUP(RANDBETWEEN(1,4),Tabla2[],2,FALSE)</f>
        <v>1er Trimestre</v>
      </c>
      <c r="E580" t="str">
        <f ca="1">VLOOKUP(RANDBETWEEN(1,8),Tabla3[],2,FALSE)</f>
        <v>Memorias USB</v>
      </c>
      <c r="F580" s="15">
        <f ca="1">VLOOKUP(RANDBETWEEN(1,12),Tabla4[],2,FALSE)</f>
        <v>300000</v>
      </c>
      <c r="G580" s="15">
        <f ca="1">Tabladatos[[#This Row],[Ingresos]]*VLOOKUP(RANDBETWEEN(1,10),Tabla5[],2,FALSE)</f>
        <v>30000</v>
      </c>
      <c r="H580" s="15">
        <f ca="1">Tabladatos[[#This Row],[Ingresos]]-Tabladatos[[#This Row],[Costos]]</f>
        <v>270000</v>
      </c>
    </row>
    <row r="581" spans="1:8" ht="22.5" customHeight="1" x14ac:dyDescent="0.25">
      <c r="A581" t="s">
        <v>22</v>
      </c>
      <c r="B581" t="str">
        <f ca="1">VLOOKUP(RANDBETWEEN(1,3),Tabla1[],2,FALSE)</f>
        <v>Central</v>
      </c>
      <c r="C581">
        <v>2020</v>
      </c>
      <c r="D581" t="str">
        <f ca="1">VLOOKUP(RANDBETWEEN(1,4),Tabla2[],2,FALSE)</f>
        <v>1er Trimestre</v>
      </c>
      <c r="E581" t="str">
        <f ca="1">VLOOKUP(RANDBETWEEN(1,8),Tabla3[],2,FALSE)</f>
        <v>Monitores</v>
      </c>
      <c r="F581" s="15">
        <f ca="1">VLOOKUP(RANDBETWEEN(1,12),Tabla4[],2,FALSE)</f>
        <v>535990</v>
      </c>
      <c r="G581" s="15">
        <f ca="1">Tabladatos[[#This Row],[Ingresos]]*VLOOKUP(RANDBETWEEN(1,10),Tabla5[],2,FALSE)</f>
        <v>321594</v>
      </c>
      <c r="H581" s="15">
        <f ca="1">Tabladatos[[#This Row],[Ingresos]]-Tabladatos[[#This Row],[Costos]]</f>
        <v>214396</v>
      </c>
    </row>
    <row r="582" spans="1:8" ht="22.5" customHeight="1" x14ac:dyDescent="0.25">
      <c r="A582" t="s">
        <v>22</v>
      </c>
      <c r="B582" t="str">
        <f ca="1">VLOOKUP(RANDBETWEEN(1,3),Tabla1[],2,FALSE)</f>
        <v>Central</v>
      </c>
      <c r="C582">
        <v>2020</v>
      </c>
      <c r="D582" t="str">
        <f ca="1">VLOOKUP(RANDBETWEEN(1,4),Tabla2[],2,FALSE)</f>
        <v>4to Trimestre</v>
      </c>
      <c r="E582" t="str">
        <f ca="1">VLOOKUP(RANDBETWEEN(1,8),Tabla3[],2,FALSE)</f>
        <v>Monitores</v>
      </c>
      <c r="F582" s="15">
        <f ca="1">VLOOKUP(RANDBETWEEN(1,12),Tabla4[],2,FALSE)</f>
        <v>27300</v>
      </c>
      <c r="G582" s="15">
        <f ca="1">Tabladatos[[#This Row],[Ingresos]]*VLOOKUP(RANDBETWEEN(1,10),Tabla5[],2,FALSE)</f>
        <v>10920</v>
      </c>
      <c r="H582" s="15">
        <f ca="1">Tabladatos[[#This Row],[Ingresos]]-Tabladatos[[#This Row],[Costos]]</f>
        <v>16380</v>
      </c>
    </row>
    <row r="583" spans="1:8" ht="22.5" customHeight="1" x14ac:dyDescent="0.25">
      <c r="A583" t="s">
        <v>22</v>
      </c>
      <c r="B583" t="str">
        <f ca="1">VLOOKUP(RANDBETWEEN(1,3),Tabla1[],2,FALSE)</f>
        <v xml:space="preserve">Sur </v>
      </c>
      <c r="C583">
        <v>2020</v>
      </c>
      <c r="D583" t="str">
        <f ca="1">VLOOKUP(RANDBETWEEN(1,4),Tabla2[],2,FALSE)</f>
        <v>3er Trimestre</v>
      </c>
      <c r="E583" t="str">
        <f ca="1">VLOOKUP(RANDBETWEEN(1,8),Tabla3[],2,FALSE)</f>
        <v>Computadoras</v>
      </c>
      <c r="F583" s="15">
        <f ca="1">VLOOKUP(RANDBETWEEN(1,12),Tabla4[],2,FALSE)</f>
        <v>415765</v>
      </c>
      <c r="G583" s="15">
        <f ca="1">Tabladatos[[#This Row],[Ingresos]]*VLOOKUP(RANDBETWEEN(1,10),Tabla5[],2,FALSE)</f>
        <v>83153</v>
      </c>
      <c r="H583" s="15">
        <f ca="1">Tabladatos[[#This Row],[Ingresos]]-Tabladatos[[#This Row],[Costos]]</f>
        <v>332612</v>
      </c>
    </row>
    <row r="584" spans="1:8" ht="22.5" customHeight="1" x14ac:dyDescent="0.25">
      <c r="A584" t="s">
        <v>22</v>
      </c>
      <c r="B584" t="str">
        <f ca="1">VLOOKUP(RANDBETWEEN(1,3),Tabla1[],2,FALSE)</f>
        <v>Central</v>
      </c>
      <c r="C584">
        <v>2020</v>
      </c>
      <c r="D584" t="str">
        <f ca="1">VLOOKUP(RANDBETWEEN(1,4),Tabla2[],2,FALSE)</f>
        <v>1er Trimestre</v>
      </c>
      <c r="E584" t="str">
        <f ca="1">VLOOKUP(RANDBETWEEN(1,8),Tabla3[],2,FALSE)</f>
        <v>Monitores</v>
      </c>
      <c r="F584" s="15">
        <f ca="1">VLOOKUP(RANDBETWEEN(1,12),Tabla4[],2,FALSE)</f>
        <v>535990</v>
      </c>
      <c r="G584" s="15">
        <f ca="1">Tabladatos[[#This Row],[Ingresos]]*VLOOKUP(RANDBETWEEN(1,10),Tabla5[],2,FALSE)</f>
        <v>428792</v>
      </c>
      <c r="H584" s="15">
        <f ca="1">Tabladatos[[#This Row],[Ingresos]]-Tabladatos[[#This Row],[Costos]]</f>
        <v>107198</v>
      </c>
    </row>
    <row r="585" spans="1:8" ht="22.5" customHeight="1" x14ac:dyDescent="0.25">
      <c r="A585" t="s">
        <v>22</v>
      </c>
      <c r="B585" t="str">
        <f ca="1">VLOOKUP(RANDBETWEEN(1,3),Tabla1[],2,FALSE)</f>
        <v>Central</v>
      </c>
      <c r="C585">
        <v>2020</v>
      </c>
      <c r="D585" t="str">
        <f ca="1">VLOOKUP(RANDBETWEEN(1,4),Tabla2[],2,FALSE)</f>
        <v>4to Trimestre</v>
      </c>
      <c r="E585" t="str">
        <f ca="1">VLOOKUP(RANDBETWEEN(1,8),Tabla3[],2,FALSE)</f>
        <v>Impresoras</v>
      </c>
      <c r="F585" s="15">
        <f ca="1">VLOOKUP(RANDBETWEEN(1,12),Tabla4[],2,FALSE)</f>
        <v>27300</v>
      </c>
      <c r="G585" s="15">
        <f ca="1">Tabladatos[[#This Row],[Ingresos]]*VLOOKUP(RANDBETWEEN(1,10),Tabla5[],2,FALSE)</f>
        <v>6825</v>
      </c>
      <c r="H585" s="15">
        <f ca="1">Tabladatos[[#This Row],[Ingresos]]-Tabladatos[[#This Row],[Costos]]</f>
        <v>20475</v>
      </c>
    </row>
    <row r="586" spans="1:8" ht="22.5" customHeight="1" x14ac:dyDescent="0.25">
      <c r="A586" t="s">
        <v>22</v>
      </c>
      <c r="B586" t="str">
        <f ca="1">VLOOKUP(RANDBETWEEN(1,3),Tabla1[],2,FALSE)</f>
        <v>Central</v>
      </c>
      <c r="C586">
        <v>2020</v>
      </c>
      <c r="D586" t="str">
        <f ca="1">VLOOKUP(RANDBETWEEN(1,4),Tabla2[],2,FALSE)</f>
        <v>3er Trimestre</v>
      </c>
      <c r="E586" t="str">
        <f ca="1">VLOOKUP(RANDBETWEEN(1,8),Tabla3[],2,FALSE)</f>
        <v>Escáners</v>
      </c>
      <c r="F586" s="15">
        <f ca="1">VLOOKUP(RANDBETWEEN(1,12),Tabla4[],2,FALSE)</f>
        <v>27300</v>
      </c>
      <c r="G586" s="15">
        <f ca="1">Tabladatos[[#This Row],[Ingresos]]*VLOOKUP(RANDBETWEEN(1,10),Tabla5[],2,FALSE)</f>
        <v>5460</v>
      </c>
      <c r="H586" s="15">
        <f ca="1">Tabladatos[[#This Row],[Ingresos]]-Tabladatos[[#This Row],[Costos]]</f>
        <v>21840</v>
      </c>
    </row>
    <row r="587" spans="1:8" ht="22.5" customHeight="1" x14ac:dyDescent="0.25">
      <c r="A587" t="s">
        <v>22</v>
      </c>
      <c r="B587" t="str">
        <f ca="1">VLOOKUP(RANDBETWEEN(1,3),Tabla1[],2,FALSE)</f>
        <v>Norte</v>
      </c>
      <c r="C587">
        <v>2020</v>
      </c>
      <c r="D587" t="str">
        <f ca="1">VLOOKUP(RANDBETWEEN(1,4),Tabla2[],2,FALSE)</f>
        <v>1er Trimestre</v>
      </c>
      <c r="E587" t="str">
        <f ca="1">VLOOKUP(RANDBETWEEN(1,8),Tabla3[],2,FALSE)</f>
        <v>Memorias USB</v>
      </c>
      <c r="F587" s="15">
        <f ca="1">VLOOKUP(RANDBETWEEN(1,12),Tabla4[],2,FALSE)</f>
        <v>170000</v>
      </c>
      <c r="G587" s="15">
        <f ca="1">Tabladatos[[#This Row],[Ingresos]]*VLOOKUP(RANDBETWEEN(1,10),Tabla5[],2,FALSE)</f>
        <v>102000</v>
      </c>
      <c r="H587" s="15">
        <f ca="1">Tabladatos[[#This Row],[Ingresos]]-Tabladatos[[#This Row],[Costos]]</f>
        <v>68000</v>
      </c>
    </row>
    <row r="588" spans="1:8" ht="22.5" customHeight="1" x14ac:dyDescent="0.25">
      <c r="A588" t="s">
        <v>22</v>
      </c>
      <c r="B588" t="str">
        <f ca="1">VLOOKUP(RANDBETWEEN(1,3),Tabla1[],2,FALSE)</f>
        <v>Central</v>
      </c>
      <c r="C588">
        <v>2020</v>
      </c>
      <c r="D588" t="str">
        <f ca="1">VLOOKUP(RANDBETWEEN(1,4),Tabla2[],2,FALSE)</f>
        <v>4to Trimestre</v>
      </c>
      <c r="E588" t="str">
        <f ca="1">VLOOKUP(RANDBETWEEN(1,8),Tabla3[],2,FALSE)</f>
        <v>Memorias USB</v>
      </c>
      <c r="F588" s="15">
        <f ca="1">VLOOKUP(RANDBETWEEN(1,12),Tabla4[],2,FALSE)</f>
        <v>66150</v>
      </c>
      <c r="G588" s="15">
        <f ca="1">Tabladatos[[#This Row],[Ingresos]]*VLOOKUP(RANDBETWEEN(1,10),Tabla5[],2,FALSE)</f>
        <v>9922.5</v>
      </c>
      <c r="H588" s="15">
        <f ca="1">Tabladatos[[#This Row],[Ingresos]]-Tabladatos[[#This Row],[Costos]]</f>
        <v>56227.5</v>
      </c>
    </row>
    <row r="589" spans="1:8" ht="22.5" customHeight="1" x14ac:dyDescent="0.25">
      <c r="A589" t="s">
        <v>22</v>
      </c>
      <c r="B589" t="str">
        <f ca="1">VLOOKUP(RANDBETWEEN(1,3),Tabla1[],2,FALSE)</f>
        <v>Norte</v>
      </c>
      <c r="C589">
        <v>2020</v>
      </c>
      <c r="D589" t="str">
        <f ca="1">VLOOKUP(RANDBETWEEN(1,4),Tabla2[],2,FALSE)</f>
        <v>2do Trimestre</v>
      </c>
      <c r="E589" t="str">
        <f ca="1">VLOOKUP(RANDBETWEEN(1,8),Tabla3[],2,FALSE)</f>
        <v>Impresoras</v>
      </c>
      <c r="F589" s="15">
        <f ca="1">VLOOKUP(RANDBETWEEN(1,12),Tabla4[],2,FALSE)</f>
        <v>599800</v>
      </c>
      <c r="G589" s="15">
        <f ca="1">Tabladatos[[#This Row],[Ingresos]]*VLOOKUP(RANDBETWEEN(1,10),Tabla5[],2,FALSE)</f>
        <v>179940</v>
      </c>
      <c r="H589" s="15">
        <f ca="1">Tabladatos[[#This Row],[Ingresos]]-Tabladatos[[#This Row],[Costos]]</f>
        <v>419860</v>
      </c>
    </row>
    <row r="590" spans="1:8" ht="22.5" customHeight="1" x14ac:dyDescent="0.25">
      <c r="A590" t="s">
        <v>22</v>
      </c>
      <c r="B590" t="str">
        <f ca="1">VLOOKUP(RANDBETWEEN(1,3),Tabla1[],2,FALSE)</f>
        <v xml:space="preserve">Sur </v>
      </c>
      <c r="C590">
        <v>2020</v>
      </c>
      <c r="D590" t="str">
        <f ca="1">VLOOKUP(RANDBETWEEN(1,4),Tabla2[],2,FALSE)</f>
        <v>4to Trimestre</v>
      </c>
      <c r="E590" t="str">
        <f ca="1">VLOOKUP(RANDBETWEEN(1,8),Tabla3[],2,FALSE)</f>
        <v>Monitores</v>
      </c>
      <c r="F590" s="15">
        <f ca="1">VLOOKUP(RANDBETWEEN(1,12),Tabla4[],2,FALSE)</f>
        <v>228990</v>
      </c>
      <c r="G590" s="15">
        <f ca="1">Tabladatos[[#This Row],[Ingresos]]*VLOOKUP(RANDBETWEEN(1,10),Tabla5[],2,FALSE)</f>
        <v>160293</v>
      </c>
      <c r="H590" s="15">
        <f ca="1">Tabladatos[[#This Row],[Ingresos]]-Tabladatos[[#This Row],[Costos]]</f>
        <v>68697</v>
      </c>
    </row>
    <row r="591" spans="1:8" ht="22.5" customHeight="1" x14ac:dyDescent="0.25">
      <c r="A591" t="s">
        <v>22</v>
      </c>
      <c r="B591" t="str">
        <f ca="1">VLOOKUP(RANDBETWEEN(1,3),Tabla1[],2,FALSE)</f>
        <v xml:space="preserve">Sur </v>
      </c>
      <c r="C591">
        <v>2020</v>
      </c>
      <c r="D591" t="str">
        <f ca="1">VLOOKUP(RANDBETWEEN(1,4),Tabla2[],2,FALSE)</f>
        <v>2do Trimestre</v>
      </c>
      <c r="E591" t="str">
        <f ca="1">VLOOKUP(RANDBETWEEN(1,8),Tabla3[],2,FALSE)</f>
        <v>Monitores</v>
      </c>
      <c r="F591" s="15">
        <f ca="1">VLOOKUP(RANDBETWEEN(1,12),Tabla4[],2,FALSE)</f>
        <v>95945</v>
      </c>
      <c r="G591" s="15">
        <f ca="1">Tabladatos[[#This Row],[Ingresos]]*VLOOKUP(RANDBETWEEN(1,10),Tabla5[],2,FALSE)</f>
        <v>76756</v>
      </c>
      <c r="H591" s="15">
        <f ca="1">Tabladatos[[#This Row],[Ingresos]]-Tabladatos[[#This Row],[Costos]]</f>
        <v>19189</v>
      </c>
    </row>
    <row r="592" spans="1:8" ht="22.5" customHeight="1" x14ac:dyDescent="0.25">
      <c r="A592" t="s">
        <v>22</v>
      </c>
      <c r="B592" t="str">
        <f ca="1">VLOOKUP(RANDBETWEEN(1,3),Tabla1[],2,FALSE)</f>
        <v>Norte</v>
      </c>
      <c r="C592">
        <v>2020</v>
      </c>
      <c r="D592" t="str">
        <f ca="1">VLOOKUP(RANDBETWEEN(1,4),Tabla2[],2,FALSE)</f>
        <v>2do Trimestre</v>
      </c>
      <c r="E592" t="str">
        <f ca="1">VLOOKUP(RANDBETWEEN(1,8),Tabla3[],2,FALSE)</f>
        <v>Escáners</v>
      </c>
      <c r="F592" s="15">
        <f ca="1">VLOOKUP(RANDBETWEEN(1,12),Tabla4[],2,FALSE)</f>
        <v>228990</v>
      </c>
      <c r="G592" s="15">
        <f ca="1">Tabladatos[[#This Row],[Ingresos]]*VLOOKUP(RANDBETWEEN(1,10),Tabla5[],2,FALSE)</f>
        <v>137394</v>
      </c>
      <c r="H592" s="15">
        <f ca="1">Tabladatos[[#This Row],[Ingresos]]-Tabladatos[[#This Row],[Costos]]</f>
        <v>91596</v>
      </c>
    </row>
    <row r="593" spans="1:8" ht="22.5" customHeight="1" x14ac:dyDescent="0.25">
      <c r="A593" t="s">
        <v>22</v>
      </c>
      <c r="B593" t="str">
        <f ca="1">VLOOKUP(RANDBETWEEN(1,3),Tabla1[],2,FALSE)</f>
        <v>Norte</v>
      </c>
      <c r="C593">
        <v>2020</v>
      </c>
      <c r="D593" t="str">
        <f ca="1">VLOOKUP(RANDBETWEEN(1,4),Tabla2[],2,FALSE)</f>
        <v>3er Trimestre</v>
      </c>
      <c r="E593" t="str">
        <f ca="1">VLOOKUP(RANDBETWEEN(1,8),Tabla3[],2,FALSE)</f>
        <v>Monitores</v>
      </c>
      <c r="F593" s="15">
        <f ca="1">VLOOKUP(RANDBETWEEN(1,12),Tabla4[],2,FALSE)</f>
        <v>228990</v>
      </c>
      <c r="G593" s="15">
        <f ca="1">Tabladatos[[#This Row],[Ingresos]]*VLOOKUP(RANDBETWEEN(1,10),Tabla5[],2,FALSE)</f>
        <v>160293</v>
      </c>
      <c r="H593" s="15">
        <f ca="1">Tabladatos[[#This Row],[Ingresos]]-Tabladatos[[#This Row],[Costos]]</f>
        <v>68697</v>
      </c>
    </row>
    <row r="594" spans="1:8" ht="22.5" customHeight="1" x14ac:dyDescent="0.25">
      <c r="A594" t="s">
        <v>22</v>
      </c>
      <c r="B594" t="str">
        <f ca="1">VLOOKUP(RANDBETWEEN(1,3),Tabla1[],2,FALSE)</f>
        <v xml:space="preserve">Sur </v>
      </c>
      <c r="C594">
        <v>2020</v>
      </c>
      <c r="D594" t="str">
        <f ca="1">VLOOKUP(RANDBETWEEN(1,4),Tabla2[],2,FALSE)</f>
        <v>2do Trimestre</v>
      </c>
      <c r="E594" t="str">
        <f ca="1">VLOOKUP(RANDBETWEEN(1,8),Tabla3[],2,FALSE)</f>
        <v>Monitores</v>
      </c>
      <c r="F594" s="15">
        <f ca="1">VLOOKUP(RANDBETWEEN(1,12),Tabla4[],2,FALSE)</f>
        <v>228990</v>
      </c>
      <c r="G594" s="15">
        <f ca="1">Tabladatos[[#This Row],[Ingresos]]*VLOOKUP(RANDBETWEEN(1,10),Tabla5[],2,FALSE)</f>
        <v>183192</v>
      </c>
      <c r="H594" s="15">
        <f ca="1">Tabladatos[[#This Row],[Ingresos]]-Tabladatos[[#This Row],[Costos]]</f>
        <v>45798</v>
      </c>
    </row>
    <row r="595" spans="1:8" ht="22.5" customHeight="1" x14ac:dyDescent="0.25">
      <c r="A595" t="s">
        <v>22</v>
      </c>
      <c r="B595" t="str">
        <f ca="1">VLOOKUP(RANDBETWEEN(1,3),Tabla1[],2,FALSE)</f>
        <v>Central</v>
      </c>
      <c r="C595">
        <v>2020</v>
      </c>
      <c r="D595" t="str">
        <f ca="1">VLOOKUP(RANDBETWEEN(1,4),Tabla2[],2,FALSE)</f>
        <v>1er Trimestre</v>
      </c>
      <c r="E595" t="str">
        <f ca="1">VLOOKUP(RANDBETWEEN(1,8),Tabla3[],2,FALSE)</f>
        <v>Computadoras</v>
      </c>
      <c r="F595" s="15">
        <f ca="1">VLOOKUP(RANDBETWEEN(1,12),Tabla4[],2,FALSE)</f>
        <v>365285</v>
      </c>
      <c r="G595" s="15">
        <f ca="1">Tabladatos[[#This Row],[Ingresos]]*VLOOKUP(RANDBETWEEN(1,10),Tabla5[],2,FALSE)</f>
        <v>91321.25</v>
      </c>
      <c r="H595" s="15">
        <f ca="1">Tabladatos[[#This Row],[Ingresos]]-Tabladatos[[#This Row],[Costos]]</f>
        <v>273963.75</v>
      </c>
    </row>
    <row r="596" spans="1:8" ht="22.5" customHeight="1" x14ac:dyDescent="0.25">
      <c r="A596" t="s">
        <v>22</v>
      </c>
      <c r="B596" t="str">
        <f ca="1">VLOOKUP(RANDBETWEEN(1,3),Tabla1[],2,FALSE)</f>
        <v xml:space="preserve">Sur </v>
      </c>
      <c r="C596">
        <v>2020</v>
      </c>
      <c r="D596" t="str">
        <f ca="1">VLOOKUP(RANDBETWEEN(1,4),Tabla2[],2,FALSE)</f>
        <v>4to Trimestre</v>
      </c>
      <c r="E596" t="str">
        <f ca="1">VLOOKUP(RANDBETWEEN(1,8),Tabla3[],2,FALSE)</f>
        <v>Computadoras</v>
      </c>
      <c r="F596" s="15">
        <f ca="1">VLOOKUP(RANDBETWEEN(1,12),Tabla4[],2,FALSE)</f>
        <v>599800</v>
      </c>
      <c r="G596" s="15">
        <f ca="1">Tabladatos[[#This Row],[Ingresos]]*VLOOKUP(RANDBETWEEN(1,10),Tabla5[],2,FALSE)</f>
        <v>419860</v>
      </c>
      <c r="H596" s="15">
        <f ca="1">Tabladatos[[#This Row],[Ingresos]]-Tabladatos[[#This Row],[Costos]]</f>
        <v>179940</v>
      </c>
    </row>
    <row r="597" spans="1:8" ht="22.5" customHeight="1" x14ac:dyDescent="0.25">
      <c r="A597" t="s">
        <v>22</v>
      </c>
      <c r="B597" t="str">
        <f ca="1">VLOOKUP(RANDBETWEEN(1,3),Tabla1[],2,FALSE)</f>
        <v>Norte</v>
      </c>
      <c r="C597">
        <v>2020</v>
      </c>
      <c r="D597" t="str">
        <f ca="1">VLOOKUP(RANDBETWEEN(1,4),Tabla2[],2,FALSE)</f>
        <v>2do Trimestre</v>
      </c>
      <c r="E597" t="str">
        <f ca="1">VLOOKUP(RANDBETWEEN(1,8),Tabla3[],2,FALSE)</f>
        <v>Laptops</v>
      </c>
      <c r="F597" s="15">
        <f ca="1">VLOOKUP(RANDBETWEEN(1,12),Tabla4[],2,FALSE)</f>
        <v>300000</v>
      </c>
      <c r="G597" s="15">
        <f ca="1">Tabladatos[[#This Row],[Ingresos]]*VLOOKUP(RANDBETWEEN(1,10),Tabla5[],2,FALSE)</f>
        <v>45000</v>
      </c>
      <c r="H597" s="15">
        <f ca="1">Tabladatos[[#This Row],[Ingresos]]-Tabladatos[[#This Row],[Costos]]</f>
        <v>255000</v>
      </c>
    </row>
    <row r="598" spans="1:8" ht="22.5" customHeight="1" x14ac:dyDescent="0.25">
      <c r="A598" t="s">
        <v>22</v>
      </c>
      <c r="B598" t="str">
        <f ca="1">VLOOKUP(RANDBETWEEN(1,3),Tabla1[],2,FALSE)</f>
        <v xml:space="preserve">Sur </v>
      </c>
      <c r="C598">
        <v>2020</v>
      </c>
      <c r="D598" t="str">
        <f ca="1">VLOOKUP(RANDBETWEEN(1,4),Tabla2[],2,FALSE)</f>
        <v>2do Trimestre</v>
      </c>
      <c r="E598" t="str">
        <f ca="1">VLOOKUP(RANDBETWEEN(1,8),Tabla3[],2,FALSE)</f>
        <v>Tarjetas Wifi</v>
      </c>
      <c r="F598" s="15">
        <f ca="1">VLOOKUP(RANDBETWEEN(1,12),Tabla4[],2,FALSE)</f>
        <v>599800</v>
      </c>
      <c r="G598" s="15">
        <f ca="1">Tabladatos[[#This Row],[Ingresos]]*VLOOKUP(RANDBETWEEN(1,10),Tabla5[],2,FALSE)</f>
        <v>359880</v>
      </c>
      <c r="H598" s="15">
        <f ca="1">Tabladatos[[#This Row],[Ingresos]]-Tabladatos[[#This Row],[Costos]]</f>
        <v>239920</v>
      </c>
    </row>
    <row r="599" spans="1:8" ht="22.5" customHeight="1" x14ac:dyDescent="0.25">
      <c r="A599" t="s">
        <v>22</v>
      </c>
      <c r="B599" t="str">
        <f ca="1">VLOOKUP(RANDBETWEEN(1,3),Tabla1[],2,FALSE)</f>
        <v xml:space="preserve">Sur </v>
      </c>
      <c r="C599">
        <v>2020</v>
      </c>
      <c r="D599" t="str">
        <f ca="1">VLOOKUP(RANDBETWEEN(1,4),Tabla2[],2,FALSE)</f>
        <v>4to Trimestre</v>
      </c>
      <c r="E599" t="str">
        <f ca="1">VLOOKUP(RANDBETWEEN(1,8),Tabla3[],2,FALSE)</f>
        <v>SSD</v>
      </c>
      <c r="F599" s="15">
        <f ca="1">VLOOKUP(RANDBETWEEN(1,12),Tabla4[],2,FALSE)</f>
        <v>170000</v>
      </c>
      <c r="G599" s="15">
        <f ca="1">Tabladatos[[#This Row],[Ingresos]]*VLOOKUP(RANDBETWEEN(1,10),Tabla5[],2,FALSE)</f>
        <v>68000</v>
      </c>
      <c r="H599" s="15">
        <f ca="1">Tabladatos[[#This Row],[Ingresos]]-Tabladatos[[#This Row],[Costos]]</f>
        <v>102000</v>
      </c>
    </row>
    <row r="600" spans="1:8" ht="22.5" customHeight="1" x14ac:dyDescent="0.25">
      <c r="A600" t="s">
        <v>22</v>
      </c>
      <c r="B600" t="str">
        <f ca="1">VLOOKUP(RANDBETWEEN(1,3),Tabla1[],2,FALSE)</f>
        <v>Central</v>
      </c>
      <c r="C600">
        <v>2020</v>
      </c>
      <c r="D600" t="str">
        <f ca="1">VLOOKUP(RANDBETWEEN(1,4),Tabla2[],2,FALSE)</f>
        <v>4to Trimestre</v>
      </c>
      <c r="E600" t="str">
        <f ca="1">VLOOKUP(RANDBETWEEN(1,8),Tabla3[],2,FALSE)</f>
        <v>Computadoras</v>
      </c>
      <c r="F600" s="15">
        <f ca="1">VLOOKUP(RANDBETWEEN(1,12),Tabla4[],2,FALSE)</f>
        <v>535990</v>
      </c>
      <c r="G600" s="15">
        <f ca="1">Tabladatos[[#This Row],[Ingresos]]*VLOOKUP(RANDBETWEEN(1,10),Tabla5[],2,FALSE)</f>
        <v>53599</v>
      </c>
      <c r="H600" s="15">
        <f ca="1">Tabladatos[[#This Row],[Ingresos]]-Tabladatos[[#This Row],[Costos]]</f>
        <v>482391</v>
      </c>
    </row>
    <row r="601" spans="1:8" ht="22.5" customHeight="1" x14ac:dyDescent="0.25">
      <c r="A601" t="s">
        <v>22</v>
      </c>
      <c r="B601" t="str">
        <f ca="1">VLOOKUP(RANDBETWEEN(1,3),Tabla1[],2,FALSE)</f>
        <v xml:space="preserve">Sur </v>
      </c>
      <c r="C601">
        <v>2020</v>
      </c>
      <c r="D601" t="str">
        <f ca="1">VLOOKUP(RANDBETWEEN(1,4),Tabla2[],2,FALSE)</f>
        <v>2do Trimestre</v>
      </c>
      <c r="E601" t="str">
        <f ca="1">VLOOKUP(RANDBETWEEN(1,8),Tabla3[],2,FALSE)</f>
        <v>Tarjetas Wifi</v>
      </c>
      <c r="F601" s="15">
        <f ca="1">VLOOKUP(RANDBETWEEN(1,12),Tabla4[],2,FALSE)</f>
        <v>95945</v>
      </c>
      <c r="G601" s="15">
        <f ca="1">Tabladatos[[#This Row],[Ingresos]]*VLOOKUP(RANDBETWEEN(1,10),Tabla5[],2,FALSE)</f>
        <v>19189</v>
      </c>
      <c r="H601" s="15">
        <f ca="1">Tabladatos[[#This Row],[Ingresos]]-Tabladatos[[#This Row],[Costos]]</f>
        <v>76756</v>
      </c>
    </row>
    <row r="602" spans="1:8" ht="22.5" customHeight="1" x14ac:dyDescent="0.25">
      <c r="A602" t="s">
        <v>22</v>
      </c>
      <c r="B602" t="str">
        <f ca="1">VLOOKUP(RANDBETWEEN(1,3),Tabla1[],2,FALSE)</f>
        <v>Norte</v>
      </c>
      <c r="C602">
        <v>2020</v>
      </c>
      <c r="D602" t="str">
        <f ca="1">VLOOKUP(RANDBETWEEN(1,4),Tabla2[],2,FALSE)</f>
        <v>2do Trimestre</v>
      </c>
      <c r="E602" t="str">
        <f ca="1">VLOOKUP(RANDBETWEEN(1,8),Tabla3[],2,FALSE)</f>
        <v>Laptops</v>
      </c>
      <c r="F602" s="15">
        <f ca="1">VLOOKUP(RANDBETWEEN(1,12),Tabla4[],2,FALSE)</f>
        <v>365285</v>
      </c>
      <c r="G602" s="15">
        <f ca="1">Tabladatos[[#This Row],[Ingresos]]*VLOOKUP(RANDBETWEEN(1,10),Tabla5[],2,FALSE)</f>
        <v>182642.5</v>
      </c>
      <c r="H602" s="15">
        <f ca="1">Tabladatos[[#This Row],[Ingresos]]-Tabladatos[[#This Row],[Costos]]</f>
        <v>182642.5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O46"/>
  <sheetViews>
    <sheetView tabSelected="1" zoomScale="33" zoomScaleNormal="33" workbookViewId="0">
      <selection activeCell="C57" sqref="C57"/>
    </sheetView>
  </sheetViews>
  <sheetFormatPr baseColWidth="10" defaultRowHeight="15" x14ac:dyDescent="0.25"/>
  <cols>
    <col min="1" max="1" width="36.5703125" bestFit="1" customWidth="1"/>
    <col min="2" max="3" width="29.5703125" bestFit="1" customWidth="1"/>
    <col min="4" max="4" width="27" bestFit="1" customWidth="1"/>
    <col min="6" max="6" width="17.5703125" bestFit="1" customWidth="1"/>
    <col min="7" max="7" width="16.5703125" bestFit="1" customWidth="1"/>
    <col min="8" max="8" width="15.85546875" bestFit="1" customWidth="1"/>
    <col min="9" max="9" width="25.5703125" bestFit="1" customWidth="1"/>
    <col min="10" max="10" width="36.5703125" bestFit="1" customWidth="1"/>
    <col min="11" max="11" width="43" bestFit="1" customWidth="1"/>
    <col min="12" max="12" width="27.42578125" bestFit="1" customWidth="1"/>
    <col min="13" max="13" width="29.5703125" bestFit="1" customWidth="1"/>
    <col min="14" max="14" width="27.42578125" bestFit="1" customWidth="1"/>
    <col min="15" max="15" width="29.5703125" bestFit="1" customWidth="1"/>
    <col min="16" max="16" width="18" bestFit="1" customWidth="1"/>
  </cols>
  <sheetData>
    <row r="1" spans="1:15" x14ac:dyDescent="0.25">
      <c r="J1" s="21" t="s">
        <v>64</v>
      </c>
      <c r="K1" s="21" t="s">
        <v>66</v>
      </c>
    </row>
    <row r="2" spans="1:15" x14ac:dyDescent="0.25">
      <c r="J2" s="21" t="s">
        <v>63</v>
      </c>
      <c r="K2" t="s">
        <v>37</v>
      </c>
      <c r="L2" t="s">
        <v>38</v>
      </c>
      <c r="M2" t="s">
        <v>39</v>
      </c>
      <c r="N2" t="s">
        <v>40</v>
      </c>
      <c r="O2" t="s">
        <v>65</v>
      </c>
    </row>
    <row r="3" spans="1:15" x14ac:dyDescent="0.25">
      <c r="J3" s="22" t="s">
        <v>13</v>
      </c>
      <c r="K3" s="24">
        <v>1887385</v>
      </c>
      <c r="L3" s="24">
        <v>1728140</v>
      </c>
      <c r="M3" s="24">
        <v>1010040</v>
      </c>
      <c r="N3" s="24">
        <v>599800</v>
      </c>
      <c r="O3" s="24">
        <v>5225365</v>
      </c>
    </row>
    <row r="4" spans="1:15" x14ac:dyDescent="0.25">
      <c r="J4" s="22" t="s">
        <v>19</v>
      </c>
      <c r="K4" s="24">
        <v>720260</v>
      </c>
      <c r="L4" s="24">
        <v>490000</v>
      </c>
      <c r="M4" s="24">
        <v>2495285</v>
      </c>
      <c r="N4" s="24">
        <v>1380260</v>
      </c>
      <c r="O4" s="24">
        <v>5085805</v>
      </c>
    </row>
    <row r="5" spans="1:15" x14ac:dyDescent="0.25">
      <c r="J5" s="22" t="s">
        <v>25</v>
      </c>
      <c r="K5" s="24">
        <v>461230</v>
      </c>
      <c r="L5" s="24">
        <v>1526900</v>
      </c>
      <c r="M5" s="24">
        <v>1256250</v>
      </c>
      <c r="N5" s="24">
        <v>1380850</v>
      </c>
      <c r="O5" s="24">
        <v>4625230</v>
      </c>
    </row>
    <row r="6" spans="1:15" x14ac:dyDescent="0.25">
      <c r="J6" s="22" t="s">
        <v>10</v>
      </c>
      <c r="K6" s="24">
        <v>940000</v>
      </c>
      <c r="L6" s="24">
        <v>947980</v>
      </c>
      <c r="M6" s="24">
        <v>1785240</v>
      </c>
      <c r="N6" s="24">
        <v>649450</v>
      </c>
      <c r="O6" s="24">
        <v>4322670</v>
      </c>
    </row>
    <row r="7" spans="1:15" x14ac:dyDescent="0.25">
      <c r="A7" s="21" t="s">
        <v>63</v>
      </c>
      <c r="B7" t="s">
        <v>64</v>
      </c>
      <c r="C7" t="s">
        <v>69</v>
      </c>
      <c r="D7" t="s">
        <v>67</v>
      </c>
      <c r="J7" s="22" t="s">
        <v>6</v>
      </c>
      <c r="K7" s="24">
        <v>1180040</v>
      </c>
      <c r="L7" s="24">
        <v>599800</v>
      </c>
      <c r="M7" s="24">
        <v>1350980</v>
      </c>
      <c r="N7" s="24">
        <v>769800</v>
      </c>
      <c r="O7" s="24">
        <v>3900620</v>
      </c>
    </row>
    <row r="8" spans="1:15" x14ac:dyDescent="0.25">
      <c r="A8" s="22" t="s">
        <v>50</v>
      </c>
      <c r="B8" s="24">
        <v>9387910</v>
      </c>
      <c r="C8" s="24">
        <v>4881272.5</v>
      </c>
      <c r="D8" s="19">
        <v>0.51995305664413061</v>
      </c>
      <c r="J8" s="22" t="s">
        <v>21</v>
      </c>
      <c r="K8" s="24">
        <v>1833405</v>
      </c>
      <c r="L8" s="24">
        <v>236150</v>
      </c>
      <c r="M8" s="24">
        <v>1721735</v>
      </c>
      <c r="N8" s="24"/>
      <c r="O8" s="24">
        <v>3791290</v>
      </c>
    </row>
    <row r="9" spans="1:15" x14ac:dyDescent="0.25">
      <c r="A9" s="22" t="s">
        <v>49</v>
      </c>
      <c r="B9" s="24">
        <v>8251755</v>
      </c>
      <c r="C9" s="24">
        <v>4924431.5</v>
      </c>
      <c r="D9" s="19">
        <v>0.59677383780783599</v>
      </c>
      <c r="J9" s="22" t="s">
        <v>20</v>
      </c>
      <c r="K9" s="24">
        <v>1397010</v>
      </c>
      <c r="L9" s="24">
        <v>858830</v>
      </c>
      <c r="M9" s="24">
        <v>322440</v>
      </c>
      <c r="N9" s="24">
        <v>490000</v>
      </c>
      <c r="O9" s="24">
        <v>3068280</v>
      </c>
    </row>
    <row r="10" spans="1:15" x14ac:dyDescent="0.25">
      <c r="A10" s="22" t="s">
        <v>48</v>
      </c>
      <c r="B10" s="24">
        <v>7781655</v>
      </c>
      <c r="C10" s="24">
        <v>4445805.5</v>
      </c>
      <c r="D10" s="19">
        <v>0.57131876188291564</v>
      </c>
      <c r="J10" s="22" t="s">
        <v>17</v>
      </c>
      <c r="K10" s="24">
        <v>995745</v>
      </c>
      <c r="L10" s="24">
        <v>1135790</v>
      </c>
      <c r="M10" s="24">
        <v>27300</v>
      </c>
      <c r="N10" s="24">
        <v>804210</v>
      </c>
      <c r="O10" s="24">
        <v>2963045</v>
      </c>
    </row>
    <row r="11" spans="1:15" x14ac:dyDescent="0.25">
      <c r="A11" s="22" t="s">
        <v>45</v>
      </c>
      <c r="B11" s="24">
        <v>6843565</v>
      </c>
      <c r="C11" s="24">
        <v>3820837.5</v>
      </c>
      <c r="D11" s="19">
        <v>0.55831098265304702</v>
      </c>
      <c r="J11" s="22" t="s">
        <v>14</v>
      </c>
      <c r="K11" s="24">
        <v>1015765</v>
      </c>
      <c r="L11" s="24">
        <v>490000</v>
      </c>
      <c r="M11" s="24">
        <v>517300</v>
      </c>
      <c r="N11" s="24">
        <v>697380</v>
      </c>
      <c r="O11" s="24">
        <v>2720445</v>
      </c>
    </row>
    <row r="12" spans="1:15" x14ac:dyDescent="0.25">
      <c r="A12" s="22" t="s">
        <v>46</v>
      </c>
      <c r="B12" s="24">
        <v>6574950</v>
      </c>
      <c r="C12" s="24">
        <v>4241918.5</v>
      </c>
      <c r="D12" s="19">
        <v>0.64516361341150885</v>
      </c>
      <c r="J12" s="22" t="s">
        <v>12</v>
      </c>
      <c r="K12" s="24">
        <v>1033810</v>
      </c>
      <c r="L12" s="24">
        <v>392585</v>
      </c>
      <c r="M12" s="24">
        <v>1084275</v>
      </c>
      <c r="N12" s="24">
        <v>186610</v>
      </c>
      <c r="O12" s="24">
        <v>2697280</v>
      </c>
    </row>
    <row r="13" spans="1:15" x14ac:dyDescent="0.25">
      <c r="A13" s="22" t="s">
        <v>65</v>
      </c>
      <c r="B13" s="24">
        <v>38839835</v>
      </c>
      <c r="C13" s="24">
        <v>22314265.5</v>
      </c>
      <c r="D13" s="19">
        <v>0.57452009000553173</v>
      </c>
      <c r="J13" s="22" t="s">
        <v>65</v>
      </c>
      <c r="K13" s="24">
        <v>11464650</v>
      </c>
      <c r="L13" s="24">
        <v>8406175</v>
      </c>
      <c r="M13" s="24">
        <v>11570845</v>
      </c>
      <c r="N13" s="24">
        <v>6958360</v>
      </c>
      <c r="O13" s="24">
        <v>38400030</v>
      </c>
    </row>
    <row r="17" spans="1:4" x14ac:dyDescent="0.25">
      <c r="A17" s="21" t="s">
        <v>63</v>
      </c>
      <c r="B17" t="s">
        <v>64</v>
      </c>
      <c r="C17" t="s">
        <v>69</v>
      </c>
      <c r="D17" t="s">
        <v>67</v>
      </c>
    </row>
    <row r="18" spans="1:4" x14ac:dyDescent="0.25">
      <c r="A18" s="22" t="s">
        <v>13</v>
      </c>
      <c r="B18" s="24">
        <v>5225365</v>
      </c>
      <c r="C18" s="24">
        <v>3533013.25</v>
      </c>
      <c r="D18" s="19">
        <v>0.67612755281210024</v>
      </c>
    </row>
    <row r="19" spans="1:4" x14ac:dyDescent="0.25">
      <c r="A19" s="22" t="s">
        <v>19</v>
      </c>
      <c r="B19" s="24">
        <v>5085805</v>
      </c>
      <c r="C19" s="24">
        <v>3118829.25</v>
      </c>
      <c r="D19" s="19">
        <v>0.61324200396987305</v>
      </c>
    </row>
    <row r="20" spans="1:4" x14ac:dyDescent="0.25">
      <c r="A20" s="25" t="s">
        <v>45</v>
      </c>
      <c r="B20" s="24">
        <v>1259800</v>
      </c>
      <c r="C20" s="24">
        <v>752330</v>
      </c>
      <c r="D20" s="19">
        <v>0.59718209239561837</v>
      </c>
    </row>
    <row r="21" spans="1:4" x14ac:dyDescent="0.25">
      <c r="A21" s="25" t="s">
        <v>44</v>
      </c>
      <c r="B21" s="24">
        <v>1259800</v>
      </c>
      <c r="C21" s="24">
        <v>705340</v>
      </c>
      <c r="D21" s="19">
        <v>0.55988252103508496</v>
      </c>
    </row>
    <row r="22" spans="1:4" x14ac:dyDescent="0.25">
      <c r="A22" s="25" t="s">
        <v>48</v>
      </c>
      <c r="B22" s="24">
        <v>980000</v>
      </c>
      <c r="C22" s="24">
        <v>637000</v>
      </c>
      <c r="D22" s="19">
        <v>0.65</v>
      </c>
    </row>
    <row r="23" spans="1:4" x14ac:dyDescent="0.25">
      <c r="A23" s="25" t="s">
        <v>43</v>
      </c>
      <c r="B23" s="24">
        <v>730920</v>
      </c>
      <c r="C23" s="24">
        <v>468667</v>
      </c>
      <c r="D23" s="19">
        <v>0.6412014994801073</v>
      </c>
    </row>
    <row r="24" spans="1:4" x14ac:dyDescent="0.25">
      <c r="A24" s="25" t="s">
        <v>50</v>
      </c>
      <c r="B24" s="24">
        <v>490000</v>
      </c>
      <c r="C24" s="24">
        <v>245000</v>
      </c>
      <c r="D24" s="19">
        <v>0.5</v>
      </c>
    </row>
    <row r="25" spans="1:4" x14ac:dyDescent="0.25">
      <c r="A25" s="25" t="s">
        <v>49</v>
      </c>
      <c r="B25" s="24">
        <v>365285</v>
      </c>
      <c r="C25" s="24">
        <v>310492.25</v>
      </c>
      <c r="D25" s="19">
        <v>0.85</v>
      </c>
    </row>
    <row r="26" spans="1:4" x14ac:dyDescent="0.25">
      <c r="A26" s="22" t="s">
        <v>25</v>
      </c>
      <c r="B26" s="24">
        <v>4625230</v>
      </c>
      <c r="C26" s="24">
        <v>2911115.75</v>
      </c>
      <c r="D26" s="19">
        <v>0.62939913258367697</v>
      </c>
    </row>
    <row r="27" spans="1:4" x14ac:dyDescent="0.25">
      <c r="A27" s="22" t="s">
        <v>10</v>
      </c>
      <c r="B27" s="24">
        <v>4322670</v>
      </c>
      <c r="C27" s="24">
        <v>2912599</v>
      </c>
      <c r="D27" s="19">
        <v>0.67379628794240598</v>
      </c>
    </row>
    <row r="28" spans="1:4" x14ac:dyDescent="0.25">
      <c r="A28" s="25" t="s">
        <v>29</v>
      </c>
      <c r="B28" s="24">
        <v>1249250</v>
      </c>
      <c r="C28" s="24">
        <v>1024435</v>
      </c>
      <c r="D28" s="19">
        <v>0.82004002401440867</v>
      </c>
    </row>
    <row r="29" spans="1:4" x14ac:dyDescent="0.25">
      <c r="A29" s="25" t="s">
        <v>48</v>
      </c>
      <c r="B29" s="24">
        <v>993970</v>
      </c>
      <c r="C29" s="24">
        <v>718678</v>
      </c>
      <c r="D29" s="19">
        <v>0.72303791864945621</v>
      </c>
    </row>
    <row r="30" spans="1:4" x14ac:dyDescent="0.25">
      <c r="A30" s="25" t="s">
        <v>49</v>
      </c>
      <c r="B30" s="24">
        <v>819450</v>
      </c>
      <c r="C30" s="24">
        <v>365986</v>
      </c>
      <c r="D30" s="19">
        <v>0.44662395509182989</v>
      </c>
    </row>
    <row r="31" spans="1:4" x14ac:dyDescent="0.25">
      <c r="A31" s="25" t="s">
        <v>50</v>
      </c>
      <c r="B31" s="24">
        <v>790000</v>
      </c>
      <c r="C31" s="24">
        <v>421000</v>
      </c>
      <c r="D31" s="19">
        <v>0.53291139240506324</v>
      </c>
    </row>
    <row r="32" spans="1:4" x14ac:dyDescent="0.25">
      <c r="A32" s="25" t="s">
        <v>46</v>
      </c>
      <c r="B32" s="24">
        <v>300000</v>
      </c>
      <c r="C32" s="24">
        <v>255000</v>
      </c>
      <c r="D32" s="19">
        <v>0.85</v>
      </c>
    </row>
    <row r="33" spans="1:4" x14ac:dyDescent="0.25">
      <c r="A33" s="25" t="s">
        <v>43</v>
      </c>
      <c r="B33" s="24">
        <v>170000</v>
      </c>
      <c r="C33" s="24">
        <v>127500</v>
      </c>
      <c r="D33" s="19">
        <v>0.75</v>
      </c>
    </row>
    <row r="34" spans="1:4" x14ac:dyDescent="0.25">
      <c r="A34" s="22" t="s">
        <v>6</v>
      </c>
      <c r="B34" s="24">
        <v>3900620</v>
      </c>
      <c r="C34" s="24">
        <v>2244577.5</v>
      </c>
      <c r="D34" s="19">
        <v>0.5754412119099015</v>
      </c>
    </row>
    <row r="35" spans="1:4" x14ac:dyDescent="0.25">
      <c r="A35" s="22" t="s">
        <v>21</v>
      </c>
      <c r="B35" s="24">
        <v>3791290</v>
      </c>
      <c r="C35" s="24">
        <v>2076282.75</v>
      </c>
      <c r="D35" s="19">
        <v>0.54764545840597789</v>
      </c>
    </row>
    <row r="36" spans="1:4" x14ac:dyDescent="0.25">
      <c r="A36" s="22" t="s">
        <v>20</v>
      </c>
      <c r="B36" s="24">
        <v>3068280</v>
      </c>
      <c r="C36" s="24">
        <v>1522250.5</v>
      </c>
      <c r="D36" s="19">
        <v>0.49612502770281719</v>
      </c>
    </row>
    <row r="37" spans="1:4" x14ac:dyDescent="0.25">
      <c r="A37" s="22" t="s">
        <v>17</v>
      </c>
      <c r="B37" s="24">
        <v>2963045</v>
      </c>
      <c r="C37" s="24">
        <v>1961560.25</v>
      </c>
      <c r="D37" s="19">
        <v>0.66200825502143912</v>
      </c>
    </row>
    <row r="38" spans="1:4" x14ac:dyDescent="0.25">
      <c r="A38" s="25" t="s">
        <v>45</v>
      </c>
      <c r="B38" s="24">
        <v>683750</v>
      </c>
      <c r="C38" s="24">
        <v>270770</v>
      </c>
      <c r="D38" s="19">
        <v>0.39600731261425959</v>
      </c>
    </row>
    <row r="39" spans="1:4" x14ac:dyDescent="0.25">
      <c r="A39" s="25" t="s">
        <v>50</v>
      </c>
      <c r="B39" s="24">
        <v>599800</v>
      </c>
      <c r="C39" s="24">
        <v>449850</v>
      </c>
      <c r="D39" s="19">
        <v>0.75</v>
      </c>
    </row>
    <row r="40" spans="1:4" x14ac:dyDescent="0.25">
      <c r="A40" s="25" t="s">
        <v>44</v>
      </c>
      <c r="B40" s="24">
        <v>599800</v>
      </c>
      <c r="C40" s="24">
        <v>479840</v>
      </c>
      <c r="D40" s="19">
        <v>0.8</v>
      </c>
    </row>
    <row r="41" spans="1:4" x14ac:dyDescent="0.25">
      <c r="A41" s="25" t="s">
        <v>46</v>
      </c>
      <c r="B41" s="24">
        <v>535990</v>
      </c>
      <c r="C41" s="24">
        <v>455591.5</v>
      </c>
      <c r="D41" s="19">
        <v>0.85</v>
      </c>
    </row>
    <row r="42" spans="1:4" x14ac:dyDescent="0.25">
      <c r="A42" s="25" t="s">
        <v>49</v>
      </c>
      <c r="B42" s="24">
        <v>395945</v>
      </c>
      <c r="C42" s="24">
        <v>191958.75</v>
      </c>
      <c r="D42" s="19">
        <v>0.48481165313364227</v>
      </c>
    </row>
    <row r="43" spans="1:4" x14ac:dyDescent="0.25">
      <c r="A43" s="25" t="s">
        <v>48</v>
      </c>
      <c r="B43" s="24">
        <v>147760</v>
      </c>
      <c r="C43" s="24">
        <v>113550</v>
      </c>
      <c r="D43" s="19">
        <v>0.76847590687601519</v>
      </c>
    </row>
    <row r="44" spans="1:4" x14ac:dyDescent="0.25">
      <c r="A44" s="22" t="s">
        <v>14</v>
      </c>
      <c r="B44" s="24">
        <v>2720445</v>
      </c>
      <c r="C44" s="24">
        <v>1517743.5</v>
      </c>
      <c r="D44" s="19">
        <v>0.55790265930757654</v>
      </c>
    </row>
    <row r="45" spans="1:4" x14ac:dyDescent="0.25">
      <c r="A45" s="22" t="s">
        <v>12</v>
      </c>
      <c r="B45" s="24">
        <v>2697280</v>
      </c>
      <c r="C45" s="24">
        <v>1626484.75</v>
      </c>
      <c r="D45" s="19">
        <v>0.60300923522956462</v>
      </c>
    </row>
    <row r="46" spans="1:4" x14ac:dyDescent="0.25">
      <c r="A46" s="22" t="s">
        <v>65</v>
      </c>
      <c r="B46" s="24">
        <v>38400030</v>
      </c>
      <c r="C46" s="24">
        <v>23424456.5</v>
      </c>
      <c r="D46" s="19">
        <v>0.61001141144941817</v>
      </c>
    </row>
  </sheetData>
  <conditionalFormatting pivot="1" sqref="B10 B8 B12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{D0DB492A-04A8-4F77-8965-00C495583F98}</x14:id>
        </ext>
      </extLst>
    </cfRule>
  </conditionalFormatting>
  <conditionalFormatting pivot="1" sqref="C10 C8 C12">
    <cfRule type="colorScale" priority="18">
      <colorScale>
        <cfvo type="min"/>
        <cfvo type="max"/>
        <color rgb="FFFCFCFF"/>
        <color rgb="FF63BE7B"/>
      </colorScale>
    </cfRule>
  </conditionalFormatting>
  <conditionalFormatting pivot="1" sqref="D10 D8 D1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26 B18 B35 B34 B36 B4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{D54F4F63-4AD3-49C9-925E-72ABE605F274}</x14:id>
        </ext>
      </extLst>
    </cfRule>
  </conditionalFormatting>
  <conditionalFormatting pivot="1" sqref="C26 C18 C35 C34 C36 C45">
    <cfRule type="colorScale" priority="15">
      <colorScale>
        <cfvo type="min"/>
        <cfvo type="max"/>
        <color rgb="FFFCFCFF"/>
        <color rgb="FF63BE7B"/>
      </colorScale>
    </cfRule>
  </conditionalFormatting>
  <conditionalFormatting pivot="1" sqref="D26 D18 D35 D34 D36 D4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K3:N3">
    <cfRule type="colorScale" priority="13">
      <colorScale>
        <cfvo type="min"/>
        <cfvo type="max"/>
        <color rgb="FFFCFCFF"/>
        <color rgb="FF63BE7B"/>
      </colorScale>
    </cfRule>
  </conditionalFormatting>
  <conditionalFormatting pivot="1">
    <cfRule type="colorScale" priority="12">
      <colorScale>
        <cfvo type="min"/>
        <cfvo type="max"/>
        <color rgb="FFFCFCFF"/>
        <color rgb="FF63BE7B"/>
      </colorScale>
    </cfRule>
  </conditionalFormatting>
  <conditionalFormatting pivot="1" sqref="K5:N5">
    <cfRule type="colorScale" priority="11">
      <colorScale>
        <cfvo type="min"/>
        <cfvo type="max"/>
        <color rgb="FFFCFCFF"/>
        <color rgb="FF63BE7B"/>
      </colorScale>
    </cfRule>
  </conditionalFormatting>
  <conditionalFormatting pivot="1" sqref="K8:N8">
    <cfRule type="colorScale" priority="10">
      <colorScale>
        <cfvo type="min"/>
        <cfvo type="max"/>
        <color rgb="FFFCFCFF"/>
        <color rgb="FF63BE7B"/>
      </colorScale>
    </cfRule>
  </conditionalFormatting>
  <conditionalFormatting pivot="1">
    <cfRule type="colorScale" priority="9">
      <colorScale>
        <cfvo type="min"/>
        <cfvo type="max"/>
        <color rgb="FFFCFCFF"/>
        <color rgb="FF63BE7B"/>
      </colorScale>
    </cfRule>
  </conditionalFormatting>
  <conditionalFormatting pivot="1">
    <cfRule type="colorScale" priority="8">
      <colorScale>
        <cfvo type="min"/>
        <cfvo type="max"/>
        <color rgb="FFFCFCFF"/>
        <color rgb="FF63BE7B"/>
      </colorScale>
    </cfRule>
  </conditionalFormatting>
  <conditionalFormatting pivot="1" sqref="K12:N12">
    <cfRule type="colorScale" priority="7">
      <colorScale>
        <cfvo type="min"/>
        <cfvo type="max"/>
        <color rgb="FFFCFCFF"/>
        <color rgb="FF63BE7B"/>
      </colorScale>
    </cfRule>
  </conditionalFormatting>
  <conditionalFormatting pivot="1">
    <cfRule type="colorScale" priority="6">
      <colorScale>
        <cfvo type="min"/>
        <cfvo type="max"/>
        <color rgb="FFFCFCFF"/>
        <color rgb="FF63BE7B"/>
      </colorScale>
    </cfRule>
  </conditionalFormatting>
  <conditionalFormatting pivot="1" sqref="K9:N9">
    <cfRule type="colorScale" priority="5">
      <colorScale>
        <cfvo type="min"/>
        <cfvo type="max"/>
        <color rgb="FFFCFCFF"/>
        <color rgb="FF63BE7B"/>
      </colorScale>
    </cfRule>
  </conditionalFormatting>
  <conditionalFormatting pivot="1" sqref="K7:N7">
    <cfRule type="colorScale" priority="4">
      <colorScale>
        <cfvo type="min"/>
        <cfvo type="max"/>
        <color rgb="FFFCFCFF"/>
        <color rgb="FF63BE7B"/>
      </colorScale>
    </cfRule>
  </conditionalFormatting>
  <conditionalFormatting pivot="1" sqref="B36 B18 B45 B44 B35 B2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{57EE7114-5AD8-4083-B44F-13D035163D7F}</x14:id>
        </ext>
      </extLst>
    </cfRule>
  </conditionalFormatting>
  <conditionalFormatting pivot="1" sqref="C36 C18 C45 C44 C35 C26">
    <cfRule type="colorScale" priority="2">
      <colorScale>
        <cfvo type="min"/>
        <cfvo type="max"/>
        <color rgb="FFFCFCFF"/>
        <color rgb="FF63BE7B"/>
      </colorScale>
    </cfRule>
  </conditionalFormatting>
  <conditionalFormatting pivot="1" sqref="D36 D18 D45 D44 D35 D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2050" r:id="rId6" name="CommandButton1">
          <controlPr defaultSize="0" autoLine="0" r:id="rId7">
            <anchor moveWithCells="1">
              <from>
                <xdr:col>0</xdr:col>
                <xdr:colOff>1047750</xdr:colOff>
                <xdr:row>1</xdr:row>
                <xdr:rowOff>57150</xdr:rowOff>
              </from>
              <to>
                <xdr:col>2</xdr:col>
                <xdr:colOff>1200150</xdr:colOff>
                <xdr:row>3</xdr:row>
                <xdr:rowOff>171450</xdr:rowOff>
              </to>
            </anchor>
          </controlPr>
        </control>
      </mc:Choice>
      <mc:Fallback>
        <control shapeId="2050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D0DB492A-04A8-4F77-8965-00C495583F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 B8 B12</xm:sqref>
        </x14:conditionalFormatting>
        <x14:conditionalFormatting xmlns:xm="http://schemas.microsoft.com/office/excel/2006/main" pivot="1">
          <x14:cfRule type="dataBar" id="{D54F4F63-4AD3-49C9-925E-72ABE605F2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 B18 B35 B34 B36 B45</xm:sqref>
        </x14:conditionalFormatting>
        <x14:conditionalFormatting xmlns:xm="http://schemas.microsoft.com/office/excel/2006/main" pivot="1">
          <x14:cfRule type="dataBar" id="{57EE7114-5AD8-4083-B44F-13D035163D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 B18 B45 B44 B35 B26</xm:sqref>
        </x14:conditionalFormatting>
      </x14:conditionalFormattings>
    </ext>
    <ext xmlns:x14="http://schemas.microsoft.com/office/spreadsheetml/2009/9/main" uri="{A8765BA9-456A-4dab-B4F3-ACF838C121DE}">
      <x14:slicerList>
        <x14:slicer r:id="rId8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Práctica 03</vt:lpstr>
      <vt:lpstr>Origen de Datos</vt:lpstr>
      <vt:lpstr>Utilidades</vt:lpstr>
      <vt:lpstr>Tabla de Datos</vt:lpstr>
      <vt:lpstr>Informe de Ingresos y Utilidad</vt:lpstr>
      <vt:lpstr>DatosProductos</vt:lpstr>
      <vt:lpstr>DatosRegion</vt:lpstr>
      <vt:lpstr>DatosVendedores</vt:lpstr>
      <vt:lpstr>DatosVentas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Tovar García</dc:creator>
  <cp:lastModifiedBy>BABAS</cp:lastModifiedBy>
  <dcterms:created xsi:type="dcterms:W3CDTF">2021-03-04T20:01:28Z</dcterms:created>
  <dcterms:modified xsi:type="dcterms:W3CDTF">2022-05-23T18:33:11Z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536ff8d4-3074-4f1d-8f3b-7400e754536a</vt:lpwstr>
  </property>
</Properties>
</file>