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BAS\Desktop\Universidad_trimestres\Trimestre 22I\Informatica_Aplicada_para_la_Toma_de_Desiciones\"/>
    </mc:Choice>
  </mc:AlternateContent>
  <xr:revisionPtr revIDLastSave="0" documentId="13_ncr:1_{8AC4817D-67AB-49AC-B881-717F4737507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5" i="1" l="1"/>
  <c r="H13" i="1"/>
  <c r="H14" i="1"/>
  <c r="H19" i="1" l="1"/>
  <c r="K65" i="1"/>
</calcChain>
</file>

<file path=xl/sharedStrings.xml><?xml version="1.0" encoding="utf-8"?>
<sst xmlns="http://schemas.openxmlformats.org/spreadsheetml/2006/main" count="11" uniqueCount="8">
  <si>
    <t>Votos</t>
  </si>
  <si>
    <t>¿Mejor plataforma para videoconferencias?</t>
  </si>
  <si>
    <t>ZOOM</t>
  </si>
  <si>
    <t>GOOGLE MEET</t>
  </si>
  <si>
    <t>MICROSOFT TEAMS</t>
  </si>
  <si>
    <t>Nombre</t>
  </si>
  <si>
    <t>votos</t>
  </si>
  <si>
    <t>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</si>
</sst>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20"/>
      <color rgb="FFC00000"/>
      <name val="Calibri"/>
      <family val="2"/>
      <scheme val="minor"/>
    </font>
    <font>
      <sz val="11"/>
      <color rgb="FF3366FF"/>
      <name val="Calibri"/>
      <family val="2"/>
    </font>
    <font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double">
        <color theme="8" tint="-0.499984740745262"/>
      </left>
      <right/>
      <top style="double">
        <color theme="8" tint="-0.499984740745262"/>
      </top>
      <bottom/>
      <diagonal/>
    </border>
    <border>
      <left/>
      <right/>
      <top style="double">
        <color theme="8" tint="-0.499984740745262"/>
      </top>
      <bottom/>
      <diagonal/>
    </border>
    <border>
      <left/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/>
      <top/>
      <bottom/>
      <diagonal/>
    </border>
    <border>
      <left/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/>
      <top/>
      <bottom style="double">
        <color theme="8" tint="-0.499984740745262"/>
      </bottom>
      <diagonal/>
    </border>
    <border>
      <left/>
      <right/>
      <top/>
      <bottom style="double">
        <color theme="8" tint="-0.499984740745262"/>
      </bottom>
      <diagonal/>
    </border>
    <border>
      <left/>
      <right style="double">
        <color theme="8" tint="-0.499984740745262"/>
      </right>
      <top/>
      <bottom style="double">
        <color theme="8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6" fillId="2" borderId="4" xfId="0" applyFont="1" applyFill="1" applyBorder="1"/>
    <xf numFmtId="0" fontId="6" fillId="2" borderId="0" xfId="0" applyFont="1" applyFill="1" applyBorder="1"/>
    <xf numFmtId="0" fontId="7" fillId="2" borderId="6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9" fillId="2" borderId="0" xfId="0" applyFont="1" applyFill="1" applyBorder="1"/>
    <xf numFmtId="0" fontId="8" fillId="3" borderId="9" xfId="0" applyFont="1" applyFill="1" applyBorder="1"/>
    <xf numFmtId="0" fontId="8" fillId="3" borderId="9" xfId="0" applyFont="1" applyFill="1" applyBorder="1" applyAlignment="1">
      <alignment horizontal="right"/>
    </xf>
    <xf numFmtId="0" fontId="3" fillId="2" borderId="9" xfId="0" applyFont="1" applyFill="1" applyBorder="1" applyAlignment="1">
      <alignment horizontal="left"/>
    </xf>
    <xf numFmtId="0" fontId="3" fillId="2" borderId="9" xfId="0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>
      <alignment horizontal="left"/>
    </xf>
    <xf numFmtId="0" fontId="12" fillId="0" borderId="0" xfId="0" applyFont="1"/>
    <xf numFmtId="0" fontId="10" fillId="0" borderId="10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rgbClr val="FF0000"/>
                </a:solidFill>
                <a:latin typeface="Bodoni MT Black" panose="02070A03080606020203" pitchFamily="18" charset="0"/>
                <a:ea typeface="+mn-ea"/>
                <a:cs typeface="+mn-cs"/>
              </a:defRPr>
            </a:pPr>
            <a:r>
              <a:rPr lang="en-US" b="0" i="1">
                <a:solidFill>
                  <a:srgbClr val="FF0000"/>
                </a:solidFill>
                <a:latin typeface="Bodoni MT Black" panose="02070A03080606020203" pitchFamily="18" charset="0"/>
              </a:rPr>
              <a:t>Votación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rgbClr val="FF0000"/>
              </a:solidFill>
              <a:latin typeface="Bodoni MT Black" panose="02070A03080606020203" pitchFamily="18" charset="0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Hoja1!$H$12</c:f>
              <c:strCache>
                <c:ptCount val="1"/>
                <c:pt idx="0">
                  <c:v>Votos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681E-40EA-A949-5EF3FCAE4617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81E-40EA-A949-5EF3FCAE461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36E5-4736-912F-9DA0DF460D21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7.2009108617520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263998250218726E-2"/>
                      <c:h val="8.09756097560975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81E-40EA-A949-5EF3FCAE4617}"/>
                </c:ext>
              </c:extLst>
            </c:dLbl>
            <c:dLbl>
              <c:idx val="1"/>
              <c:layout>
                <c:manualLayout>
                  <c:x val="7.7777777777777779E-2"/>
                  <c:y val="-4.18118466898954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0999999999999994E-2"/>
                      <c:h val="0.1300117973058245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1E-40EA-A949-5EF3FCAE4617}"/>
                </c:ext>
              </c:extLst>
            </c:dLbl>
            <c:dLbl>
              <c:idx val="2"/>
              <c:layout>
                <c:manualLayout>
                  <c:x val="7.4999999999999997E-2"/>
                  <c:y val="-6.03948896631823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E5-4736-912F-9DA0DF460D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Hoja1!$G$13:$G$15</c:f>
              <c:strCache>
                <c:ptCount val="3"/>
                <c:pt idx="0">
                  <c:v>ZOOM</c:v>
                </c:pt>
                <c:pt idx="1">
                  <c:v>GOOGLE MEET</c:v>
                </c:pt>
                <c:pt idx="2">
                  <c:v>MICROSOFT TEAMS</c:v>
                </c:pt>
              </c:strCache>
            </c:strRef>
          </c:cat>
          <c:val>
            <c:numRef>
              <c:f>Hoja1!$H$13:$H$15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AB7F-4086-B950-3D56F1A9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548992"/>
        <c:axId val="144550528"/>
        <c:axId val="0"/>
      </c:bar3DChart>
      <c:catAx>
        <c:axId val="1445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550528"/>
        <c:crosses val="autoZero"/>
        <c:auto val="1"/>
        <c:lblAlgn val="ctr"/>
        <c:lblOffset val="100"/>
        <c:noMultiLvlLbl val="0"/>
      </c:catAx>
      <c:valAx>
        <c:axId val="14455052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548992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5">
            <a:lumMod val="5000"/>
            <a:lumOff val="95000"/>
          </a:schemeClr>
        </a:gs>
        <a:gs pos="74000">
          <a:schemeClr val="accent5">
            <a:lumMod val="45000"/>
            <a:lumOff val="55000"/>
          </a:schemeClr>
        </a:gs>
        <a:gs pos="83000">
          <a:schemeClr val="accent5">
            <a:lumMod val="45000"/>
            <a:lumOff val="55000"/>
          </a:schemeClr>
        </a:gs>
        <a:gs pos="100000">
          <a:schemeClr val="accent5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A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171449</xdr:colOff>
      <xdr:row>1</xdr:row>
      <xdr:rowOff>38100</xdr:rowOff>
    </xdr:from>
    <xdr:to>
      <xdr:col>14</xdr:col>
      <xdr:colOff>600074</xdr:colOff>
      <xdr:row>16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81924" y="238125"/>
          <a:ext cx="4238625" cy="283845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266700</xdr:colOff>
      <xdr:row>1</xdr:row>
      <xdr:rowOff>133350</xdr:rowOff>
    </xdr:from>
    <xdr:to>
      <xdr:col>14</xdr:col>
      <xdr:colOff>561975</xdr:colOff>
      <xdr:row>16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5</xdr:row>
          <xdr:rowOff>19050</xdr:rowOff>
        </xdr:from>
        <xdr:to>
          <xdr:col>3</xdr:col>
          <xdr:colOff>571500</xdr:colOff>
          <xdr:row>6</xdr:row>
          <xdr:rowOff>38100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6</xdr:row>
          <xdr:rowOff>123825</xdr:rowOff>
        </xdr:from>
        <xdr:to>
          <xdr:col>3</xdr:col>
          <xdr:colOff>571500</xdr:colOff>
          <xdr:row>7</xdr:row>
          <xdr:rowOff>142875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GOOGLE MEET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28575</xdr:rowOff>
        </xdr:from>
        <xdr:to>
          <xdr:col>3</xdr:col>
          <xdr:colOff>628650</xdr:colOff>
          <xdr:row>9</xdr:row>
          <xdr:rowOff>47625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MICROSOFT TEAMS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10</xdr:row>
          <xdr:rowOff>123825</xdr:rowOff>
        </xdr:from>
        <xdr:to>
          <xdr:col>4</xdr:col>
          <xdr:colOff>371475</xdr:colOff>
          <xdr:row>12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3366FF"/>
                  </a:solidFill>
                  <a:latin typeface="Calibri"/>
                </a:rPr>
                <a:t>Elegir...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13</xdr:row>
          <xdr:rowOff>28575</xdr:rowOff>
        </xdr:from>
        <xdr:to>
          <xdr:col>4</xdr:col>
          <xdr:colOff>381000</xdr:colOff>
          <xdr:row>14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3366FF"/>
                  </a:solidFill>
                  <a:latin typeface="Calibri"/>
                </a:rPr>
                <a:t>Reiniciar...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1076325</xdr:colOff>
          <xdr:row>9</xdr:row>
          <xdr:rowOff>38100</xdr:rowOff>
        </xdr:from>
        <xdr:to>
          <xdr:col>8</xdr:col>
          <xdr:colOff>133350</xdr:colOff>
          <xdr:row>10</xdr:row>
          <xdr:rowOff>104775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 gráfica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542926</xdr:colOff>
      <xdr:row>7</xdr:row>
      <xdr:rowOff>161925</xdr:rowOff>
    </xdr:from>
    <xdr:to>
      <xdr:col>8</xdr:col>
      <xdr:colOff>104776</xdr:colOff>
      <xdr:row>10</xdr:row>
      <xdr:rowOff>95251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76851" y="1514475"/>
          <a:ext cx="1333500" cy="504826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17"/>
  <sheetViews>
    <sheetView tabSelected="1" workbookViewId="0"/>
  </sheetViews>
  <sheetFormatPr baseColWidth="10" defaultRowHeight="15" x14ac:dyDescent="0.25"/>
  <cols>
    <col min="1" max="1" width="13.28515625" customWidth="1"/>
    <col min="2" max="2" width="12.7109375" customWidth="1"/>
    <col min="3" max="3" width="12.5703125" customWidth="1"/>
    <col min="7" max="7" width="18.42578125" customWidth="1"/>
    <col min="8" max="8" width="8.140625" customWidth="1"/>
    <col min="9" max="9" width="14.7109375" customWidth="1"/>
  </cols>
  <sheetData>
    <row r="1" spans="1:15" ht="15.75" thickBot="1" x14ac:dyDescent="0.3">
      <c r="A1" s="2"/>
    </row>
    <row r="2" spans="1:15" ht="15.75" thickTop="1" x14ac:dyDescent="0.25">
      <c r="A2" s="2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8"/>
    </row>
    <row r="3" spans="1:15" x14ac:dyDescent="0.25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1"/>
    </row>
    <row r="4" spans="1:15" x14ac:dyDescent="0.25">
      <c r="A4" s="2"/>
      <c r="B4" s="9"/>
      <c r="C4" s="18" t="s">
        <v>1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1"/>
    </row>
    <row r="5" spans="1:15" x14ac:dyDescent="0.25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1"/>
    </row>
    <row r="6" spans="1:15" x14ac:dyDescent="0.25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1"/>
    </row>
    <row r="7" spans="1:15" x14ac:dyDescent="0.25"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1"/>
    </row>
    <row r="8" spans="1:15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1"/>
    </row>
    <row r="9" spans="1:15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1"/>
    </row>
    <row r="10" spans="1:15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1"/>
    </row>
    <row r="11" spans="1:15" x14ac:dyDescent="0.2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1"/>
    </row>
    <row r="12" spans="1:15" x14ac:dyDescent="0.25">
      <c r="B12" s="9"/>
      <c r="C12" s="10"/>
      <c r="D12" s="10"/>
      <c r="E12" s="10"/>
      <c r="F12" s="10"/>
      <c r="G12" s="19" t="s">
        <v>5</v>
      </c>
      <c r="H12" s="20" t="s">
        <v>0</v>
      </c>
      <c r="I12" s="10"/>
      <c r="J12" s="10"/>
      <c r="K12" s="10"/>
      <c r="L12" s="10"/>
      <c r="M12" s="10"/>
      <c r="N12" s="10"/>
      <c r="O12" s="11"/>
    </row>
    <row r="13" spans="1:15" x14ac:dyDescent="0.25">
      <c r="B13" s="9"/>
      <c r="C13" s="10"/>
      <c r="D13" s="10"/>
      <c r="E13" s="10"/>
      <c r="F13" s="10"/>
      <c r="G13" s="21" t="s">
        <v>2</v>
      </c>
      <c r="H13" s="22">
        <f>COUNTIF($C$21:$C$34,"1")</f>
        <v>2</v>
      </c>
      <c r="I13" s="24" t="s">
        <v>2</v>
      </c>
      <c r="J13" s="10"/>
      <c r="K13" s="10"/>
      <c r="L13" s="10"/>
      <c r="M13" s="10"/>
      <c r="N13" s="10"/>
      <c r="O13" s="11"/>
    </row>
    <row r="14" spans="1:15" x14ac:dyDescent="0.25">
      <c r="B14" s="9"/>
      <c r="C14" s="10"/>
      <c r="D14" s="10"/>
      <c r="E14" s="10"/>
      <c r="F14" s="10"/>
      <c r="G14" s="21" t="s">
        <v>3</v>
      </c>
      <c r="H14" s="22">
        <f t="shared" ref="H14" si="0">COUNTIF($C$21:$C$34,"2")</f>
        <v>1</v>
      </c>
      <c r="I14" s="24" t="s">
        <v>3</v>
      </c>
      <c r="J14" s="10"/>
      <c r="K14" s="10"/>
      <c r="L14" s="10"/>
      <c r="M14" s="10"/>
      <c r="N14" s="10"/>
      <c r="O14" s="11"/>
    </row>
    <row r="15" spans="1:15" x14ac:dyDescent="0.25">
      <c r="B15" s="9"/>
      <c r="C15" s="10"/>
      <c r="D15" s="10"/>
      <c r="E15" s="10"/>
      <c r="F15" s="10"/>
      <c r="G15" s="21" t="s">
        <v>4</v>
      </c>
      <c r="H15" s="22">
        <f>COUNTIF($C$21:$C$34,"3")</f>
        <v>1</v>
      </c>
      <c r="I15" s="24" t="s">
        <v>4</v>
      </c>
      <c r="J15" s="10"/>
      <c r="K15" s="10"/>
      <c r="L15" s="10"/>
      <c r="M15" s="10"/>
      <c r="N15" s="10"/>
      <c r="O15" s="11"/>
    </row>
    <row r="16" spans="1:15" x14ac:dyDescent="0.25">
      <c r="B16" s="12"/>
      <c r="C16" s="13"/>
      <c r="D16" s="13"/>
      <c r="E16" s="10"/>
      <c r="F16" s="10"/>
      <c r="G16" s="23">
        <v>0</v>
      </c>
      <c r="H16" s="23">
        <v>0</v>
      </c>
      <c r="I16" s="23">
        <v>0</v>
      </c>
      <c r="J16" s="10"/>
      <c r="K16" s="10"/>
      <c r="L16" s="10"/>
      <c r="M16" s="10"/>
      <c r="N16" s="10"/>
      <c r="O16" s="11"/>
    </row>
    <row r="17" spans="2:15" ht="15.75" thickBot="1" x14ac:dyDescent="0.3">
      <c r="B17" s="14"/>
      <c r="C17" s="15"/>
      <c r="D17" s="15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7"/>
    </row>
    <row r="18" spans="2:15" ht="17.25" customHeight="1" thickTop="1" x14ac:dyDescent="0.4">
      <c r="B18" s="5"/>
      <c r="C18" s="3"/>
      <c r="D18" s="2"/>
      <c r="E18" s="2"/>
      <c r="H18" s="1"/>
    </row>
    <row r="19" spans="2:15" ht="17.25" customHeight="1" x14ac:dyDescent="0.25">
      <c r="B19" s="2"/>
      <c r="C19" s="2" t="s">
        <v>6</v>
      </c>
      <c r="D19" s="2"/>
      <c r="E19" s="25"/>
      <c r="H19" s="26" t="e">
        <f>IF(C21="","",IF(NOT(OR(H13=5,H14,H15)),"Inicializando la votacion...",VLOOKUP(5,H13:I15,2,FALSE)&amp;"  es el ganador"))</f>
        <v>#N/A</v>
      </c>
      <c r="I19" s="27"/>
      <c r="J19" s="27"/>
      <c r="K19" s="27"/>
      <c r="L19" s="27"/>
      <c r="M19" s="28"/>
    </row>
    <row r="20" spans="2:15" ht="17.25" customHeight="1" x14ac:dyDescent="0.25">
      <c r="B20" s="2" t="s">
        <v>7</v>
      </c>
      <c r="C20" s="2">
        <v>0</v>
      </c>
      <c r="D20" s="2"/>
      <c r="E20" s="25"/>
      <c r="H20" s="29"/>
      <c r="I20" s="30"/>
      <c r="J20" s="30"/>
      <c r="K20" s="30"/>
      <c r="L20" s="30"/>
      <c r="M20" s="31"/>
    </row>
    <row r="21" spans="2:15" ht="17.25" customHeight="1" x14ac:dyDescent="0.25">
      <c r="B21" s="2">
        <v>1</v>
      </c>
      <c r="C21" s="2">
        <v>1</v>
      </c>
      <c r="D21" s="2"/>
      <c r="E21" s="25"/>
      <c r="H21" s="32"/>
      <c r="I21" s="33"/>
      <c r="J21" s="33"/>
      <c r="K21" s="33"/>
      <c r="L21" s="33"/>
      <c r="M21" s="34"/>
    </row>
    <row r="22" spans="2:15" ht="17.25" customHeight="1" x14ac:dyDescent="0.4">
      <c r="B22" s="2">
        <v>2</v>
      </c>
      <c r="C22" s="2">
        <v>2</v>
      </c>
      <c r="D22" s="2"/>
      <c r="E22" s="25"/>
      <c r="J22" s="1"/>
    </row>
    <row r="23" spans="2:15" ht="17.25" customHeight="1" x14ac:dyDescent="0.4">
      <c r="B23" s="2">
        <v>3</v>
      </c>
      <c r="C23" s="2">
        <v>3</v>
      </c>
      <c r="D23" s="2"/>
      <c r="E23" s="25"/>
      <c r="J23" s="1"/>
    </row>
    <row r="24" spans="2:15" ht="17.25" customHeight="1" x14ac:dyDescent="0.4">
      <c r="B24" s="2">
        <v>4</v>
      </c>
      <c r="C24" s="2">
        <v>1</v>
      </c>
      <c r="D24" s="2"/>
      <c r="E24" s="25"/>
      <c r="J24" s="1"/>
    </row>
    <row r="25" spans="2:15" ht="17.25" customHeight="1" x14ac:dyDescent="0.4">
      <c r="B25" s="2">
        <v>5</v>
      </c>
      <c r="C25" s="2"/>
      <c r="D25" s="2"/>
      <c r="E25" s="25"/>
      <c r="J25" s="1"/>
    </row>
    <row r="26" spans="2:15" ht="17.25" customHeight="1" x14ac:dyDescent="0.4">
      <c r="B26" s="2">
        <v>6</v>
      </c>
      <c r="C26" s="2"/>
      <c r="D26" s="2"/>
      <c r="E26" s="25"/>
      <c r="J26" s="1"/>
    </row>
    <row r="27" spans="2:15" ht="17.25" customHeight="1" x14ac:dyDescent="0.4">
      <c r="B27" s="2">
        <v>7</v>
      </c>
      <c r="C27" s="2"/>
      <c r="D27" s="2"/>
      <c r="E27" s="25"/>
      <c r="J27" s="1"/>
    </row>
    <row r="28" spans="2:15" ht="17.25" customHeight="1" x14ac:dyDescent="0.4">
      <c r="B28" s="2">
        <v>8</v>
      </c>
      <c r="C28" s="2"/>
      <c r="D28" s="2"/>
      <c r="E28" s="25"/>
      <c r="J28" s="1"/>
    </row>
    <row r="29" spans="2:15" ht="17.25" customHeight="1" x14ac:dyDescent="0.4">
      <c r="B29" s="2">
        <v>9</v>
      </c>
      <c r="C29" s="2"/>
      <c r="D29" s="2"/>
      <c r="E29" s="25"/>
      <c r="J29" s="1"/>
    </row>
    <row r="30" spans="2:15" ht="17.25" customHeight="1" x14ac:dyDescent="0.4">
      <c r="B30" s="2">
        <v>10</v>
      </c>
      <c r="C30" s="2"/>
      <c r="D30" s="2"/>
      <c r="E30" s="25"/>
      <c r="J30" s="1"/>
    </row>
    <row r="31" spans="2:15" ht="17.25" customHeight="1" x14ac:dyDescent="0.4">
      <c r="B31" s="2">
        <v>11</v>
      </c>
      <c r="C31" s="2"/>
      <c r="D31" s="2"/>
      <c r="E31" s="25"/>
      <c r="J31" s="1"/>
    </row>
    <row r="32" spans="2:15" ht="17.25" customHeight="1" x14ac:dyDescent="0.4">
      <c r="B32" s="2">
        <v>12</v>
      </c>
      <c r="C32" s="2"/>
      <c r="D32" s="2"/>
      <c r="E32" s="25"/>
      <c r="J32" s="1"/>
    </row>
    <row r="33" spans="2:10" ht="17.25" customHeight="1" x14ac:dyDescent="0.4">
      <c r="B33" s="2">
        <v>13</v>
      </c>
      <c r="C33" s="2"/>
      <c r="D33" s="2"/>
      <c r="E33" s="25"/>
      <c r="J33" s="1"/>
    </row>
    <row r="34" spans="2:10" ht="17.25" customHeight="1" x14ac:dyDescent="0.4">
      <c r="B34" s="5"/>
      <c r="C34" s="3"/>
      <c r="D34" s="2"/>
      <c r="E34" s="25"/>
      <c r="J34" s="1"/>
    </row>
    <row r="35" spans="2:10" ht="17.25" customHeight="1" x14ac:dyDescent="0.4">
      <c r="B35" s="5"/>
      <c r="C35" s="3"/>
      <c r="D35" s="2"/>
      <c r="E35" s="25"/>
      <c r="J35" s="1"/>
    </row>
    <row r="36" spans="2:10" ht="17.25" customHeight="1" x14ac:dyDescent="0.4">
      <c r="B36" s="5"/>
      <c r="C36" s="3"/>
      <c r="D36" s="2"/>
      <c r="E36" s="25"/>
      <c r="J36" s="1"/>
    </row>
    <row r="37" spans="2:10" ht="17.25" customHeight="1" x14ac:dyDescent="0.4">
      <c r="B37" s="5"/>
      <c r="C37" s="3"/>
      <c r="D37" s="2"/>
      <c r="E37" s="25"/>
      <c r="J37" s="1"/>
    </row>
    <row r="38" spans="2:10" ht="17.25" customHeight="1" x14ac:dyDescent="0.4">
      <c r="B38" s="5"/>
      <c r="C38" s="3"/>
      <c r="D38" s="2"/>
      <c r="E38" s="25"/>
      <c r="J38" s="1"/>
    </row>
    <row r="39" spans="2:10" ht="17.25" customHeight="1" x14ac:dyDescent="0.4">
      <c r="B39" s="5"/>
      <c r="C39" s="3"/>
      <c r="D39" s="2"/>
      <c r="E39" s="25"/>
      <c r="J39" s="1"/>
    </row>
    <row r="40" spans="2:10" ht="17.25" customHeight="1" x14ac:dyDescent="0.4">
      <c r="B40" s="5"/>
      <c r="C40" s="5"/>
      <c r="D40" s="2"/>
      <c r="E40" s="25"/>
      <c r="J40" s="1"/>
    </row>
    <row r="41" spans="2:10" ht="17.25" customHeight="1" x14ac:dyDescent="0.4">
      <c r="B41" s="5"/>
      <c r="C41" s="3"/>
      <c r="D41" s="2"/>
      <c r="E41" s="25"/>
      <c r="J41" s="1"/>
    </row>
    <row r="42" spans="2:10" ht="17.25" customHeight="1" x14ac:dyDescent="0.4">
      <c r="B42" s="5"/>
      <c r="C42" s="3"/>
      <c r="D42" s="2"/>
      <c r="E42" s="25"/>
      <c r="J42" s="1"/>
    </row>
    <row r="43" spans="2:10" ht="17.25" customHeight="1" x14ac:dyDescent="0.4">
      <c r="B43" s="5"/>
      <c r="C43" s="3"/>
      <c r="D43" s="2"/>
      <c r="E43" s="2"/>
      <c r="J43" s="1"/>
    </row>
    <row r="44" spans="2:10" ht="17.25" customHeight="1" x14ac:dyDescent="0.4">
      <c r="B44" s="5"/>
      <c r="C44" s="3"/>
      <c r="D44" s="5"/>
      <c r="E44" s="5"/>
      <c r="J44" s="1"/>
    </row>
    <row r="45" spans="2:10" ht="17.25" customHeight="1" x14ac:dyDescent="0.4">
      <c r="B45" s="5"/>
      <c r="C45" s="3"/>
      <c r="D45" s="5"/>
      <c r="E45" s="5"/>
      <c r="J45" s="1"/>
    </row>
    <row r="46" spans="2:10" ht="17.25" customHeight="1" x14ac:dyDescent="0.4">
      <c r="B46" s="5"/>
      <c r="C46" s="2"/>
      <c r="D46" s="5"/>
      <c r="E46" s="5"/>
      <c r="J46" s="1"/>
    </row>
    <row r="47" spans="2:10" ht="17.25" customHeight="1" x14ac:dyDescent="0.4">
      <c r="B47" s="5"/>
      <c r="C47" s="2"/>
      <c r="D47" s="5"/>
      <c r="J47" s="1"/>
    </row>
    <row r="48" spans="2:10" ht="17.25" customHeight="1" x14ac:dyDescent="0.4">
      <c r="B48" s="5"/>
      <c r="C48" s="2"/>
      <c r="D48" s="5"/>
      <c r="J48" s="1"/>
    </row>
    <row r="49" spans="2:10" ht="17.25" customHeight="1" x14ac:dyDescent="0.4">
      <c r="B49" s="5"/>
      <c r="C49" s="2"/>
      <c r="D49" s="5"/>
      <c r="J49" s="1"/>
    </row>
    <row r="50" spans="2:10" ht="17.25" customHeight="1" x14ac:dyDescent="0.4">
      <c r="B50" s="5"/>
      <c r="C50" s="2"/>
      <c r="D50" s="5"/>
      <c r="J50" s="1"/>
    </row>
    <row r="51" spans="2:10" ht="17.25" customHeight="1" x14ac:dyDescent="0.4">
      <c r="B51" s="5"/>
      <c r="C51" s="2"/>
      <c r="D51" s="5"/>
      <c r="J51" s="1"/>
    </row>
    <row r="52" spans="2:10" ht="17.25" customHeight="1" x14ac:dyDescent="0.4">
      <c r="B52" s="5"/>
      <c r="C52" s="2"/>
      <c r="D52" s="5"/>
      <c r="J52" s="1"/>
    </row>
    <row r="53" spans="2:10" ht="17.25" customHeight="1" x14ac:dyDescent="0.4">
      <c r="B53" s="5"/>
      <c r="C53" s="2"/>
      <c r="D53" s="5"/>
      <c r="J53" s="1"/>
    </row>
    <row r="54" spans="2:10" ht="17.25" customHeight="1" x14ac:dyDescent="0.4">
      <c r="B54" s="5"/>
      <c r="C54" s="2"/>
      <c r="D54" s="5"/>
      <c r="J54" s="1"/>
    </row>
    <row r="55" spans="2:10" ht="17.25" customHeight="1" x14ac:dyDescent="0.4">
      <c r="B55" s="5"/>
      <c r="C55" s="2"/>
      <c r="D55" s="5"/>
      <c r="J55" s="1"/>
    </row>
    <row r="56" spans="2:10" ht="17.25" customHeight="1" x14ac:dyDescent="0.4">
      <c r="B56" s="5"/>
      <c r="C56" s="2"/>
      <c r="D56" s="5"/>
      <c r="J56" s="1"/>
    </row>
    <row r="57" spans="2:10" ht="17.25" customHeight="1" x14ac:dyDescent="0.4">
      <c r="B57" s="5"/>
      <c r="C57" s="2"/>
      <c r="D57" s="5"/>
      <c r="J57" s="1"/>
    </row>
    <row r="58" spans="2:10" ht="17.25" customHeight="1" x14ac:dyDescent="0.4">
      <c r="B58" s="5"/>
      <c r="C58" s="2"/>
      <c r="D58" s="5"/>
      <c r="J58" s="1"/>
    </row>
    <row r="59" spans="2:10" ht="17.25" customHeight="1" x14ac:dyDescent="0.4">
      <c r="B59" s="5"/>
      <c r="C59" s="2"/>
      <c r="D59" s="5"/>
      <c r="J59" s="1"/>
    </row>
    <row r="60" spans="2:10" ht="17.25" customHeight="1" x14ac:dyDescent="0.4">
      <c r="B60" s="5"/>
      <c r="C60" s="2"/>
      <c r="D60" s="5"/>
      <c r="J60" s="1"/>
    </row>
    <row r="61" spans="2:10" ht="17.25" customHeight="1" x14ac:dyDescent="0.4">
      <c r="B61" s="5"/>
      <c r="C61" s="2"/>
      <c r="D61" s="5"/>
      <c r="J61" s="1"/>
    </row>
    <row r="62" spans="2:10" ht="17.25" customHeight="1" x14ac:dyDescent="0.4">
      <c r="B62" s="5"/>
      <c r="C62" s="2"/>
      <c r="D62" s="5"/>
      <c r="J62" s="1"/>
    </row>
    <row r="63" spans="2:10" ht="17.25" customHeight="1" x14ac:dyDescent="0.4">
      <c r="B63" s="5"/>
      <c r="C63" s="2"/>
      <c r="D63" s="5"/>
      <c r="J63" s="1"/>
    </row>
    <row r="64" spans="2:10" ht="17.25" customHeight="1" x14ac:dyDescent="0.4">
      <c r="B64" s="5"/>
      <c r="C64" s="2"/>
      <c r="D64" s="5"/>
      <c r="J64" s="1"/>
    </row>
    <row r="65" spans="2:11" ht="17.25" customHeight="1" x14ac:dyDescent="0.4">
      <c r="B65" s="5"/>
      <c r="C65" s="2"/>
      <c r="D65" s="5"/>
      <c r="J65" s="1"/>
      <c r="K65" s="4" t="str">
        <f>IF(OR(H13=5,H14=5,H15=5),CONCATENATE(IF(H13=5,"CDMX",IF(H14=5,"SANTA LUCIA","TOLUCA")), " ES EL GANADOR"),"")</f>
        <v/>
      </c>
    </row>
    <row r="66" spans="2:11" ht="17.25" customHeight="1" x14ac:dyDescent="0.4">
      <c r="B66" s="5"/>
      <c r="C66" s="2"/>
      <c r="D66" s="5"/>
      <c r="J66" s="1"/>
    </row>
    <row r="67" spans="2:11" ht="17.25" customHeight="1" x14ac:dyDescent="0.4">
      <c r="B67" s="5"/>
      <c r="C67" s="2"/>
      <c r="D67" s="5"/>
      <c r="J67" s="1"/>
    </row>
    <row r="68" spans="2:11" ht="17.25" customHeight="1" x14ac:dyDescent="0.4">
      <c r="B68" s="2"/>
      <c r="C68" s="2"/>
      <c r="D68" s="2"/>
      <c r="J68" s="1"/>
    </row>
    <row r="69" spans="2:11" ht="17.25" customHeight="1" x14ac:dyDescent="0.4">
      <c r="B69" s="2"/>
      <c r="C69" s="5"/>
      <c r="D69" s="2"/>
      <c r="J69" s="1"/>
    </row>
    <row r="70" spans="2:11" ht="17.25" customHeight="1" x14ac:dyDescent="0.4">
      <c r="B70" s="2"/>
      <c r="C70" s="5"/>
      <c r="D70" s="2"/>
      <c r="J70" s="1"/>
    </row>
    <row r="71" spans="2:11" ht="17.25" customHeight="1" x14ac:dyDescent="0.4">
      <c r="B71" s="2"/>
      <c r="C71" s="5"/>
      <c r="D71" s="2"/>
      <c r="J71" s="1"/>
    </row>
    <row r="72" spans="2:11" ht="17.25" customHeight="1" x14ac:dyDescent="0.4">
      <c r="B72" s="2"/>
      <c r="C72" s="5"/>
      <c r="D72" s="2"/>
      <c r="J72" s="1"/>
    </row>
    <row r="73" spans="2:11" ht="17.25" customHeight="1" x14ac:dyDescent="0.4">
      <c r="B73" s="2"/>
      <c r="C73" s="5"/>
      <c r="D73" s="2"/>
      <c r="J73" s="1"/>
    </row>
    <row r="74" spans="2:11" ht="17.25" customHeight="1" x14ac:dyDescent="0.4">
      <c r="B74" s="2"/>
      <c r="C74" s="5"/>
      <c r="D74" s="2"/>
      <c r="J74" s="1"/>
    </row>
    <row r="75" spans="2:11" ht="17.25" customHeight="1" x14ac:dyDescent="0.4">
      <c r="B75" s="2"/>
      <c r="C75" s="5"/>
      <c r="D75" s="2"/>
      <c r="J75" s="1"/>
    </row>
    <row r="76" spans="2:11" ht="17.25" customHeight="1" x14ac:dyDescent="0.4">
      <c r="B76" s="2"/>
      <c r="C76" s="5"/>
      <c r="D76" s="2"/>
      <c r="J76" s="1"/>
    </row>
    <row r="77" spans="2:11" ht="17.25" customHeight="1" x14ac:dyDescent="0.4">
      <c r="B77" s="2"/>
      <c r="C77" s="5"/>
      <c r="D77" s="2"/>
      <c r="J77" s="1"/>
    </row>
    <row r="78" spans="2:11" ht="17.25" customHeight="1" x14ac:dyDescent="0.4">
      <c r="B78" s="2"/>
      <c r="C78" s="5"/>
      <c r="D78" s="2"/>
      <c r="J78" s="1"/>
    </row>
    <row r="79" spans="2:11" ht="17.25" customHeight="1" x14ac:dyDescent="0.4">
      <c r="B79" s="2"/>
      <c r="C79" s="5"/>
      <c r="D79" s="2"/>
      <c r="J79" s="1"/>
    </row>
    <row r="80" spans="2:11" ht="17.25" customHeight="1" x14ac:dyDescent="0.4">
      <c r="B80" s="2"/>
      <c r="C80" s="5"/>
      <c r="D80" s="2"/>
      <c r="J80" s="1"/>
    </row>
    <row r="81" spans="2:10" ht="17.25" customHeight="1" x14ac:dyDescent="0.4">
      <c r="B81" s="2"/>
      <c r="C81" s="5"/>
      <c r="D81" s="2"/>
      <c r="J81" s="1"/>
    </row>
    <row r="82" spans="2:10" ht="17.25" customHeight="1" x14ac:dyDescent="0.4">
      <c r="B82" s="2"/>
      <c r="C82" s="5"/>
      <c r="D82" s="2"/>
      <c r="J82" s="1"/>
    </row>
    <row r="83" spans="2:10" ht="17.25" customHeight="1" x14ac:dyDescent="0.4">
      <c r="B83" s="2"/>
      <c r="C83" s="5"/>
      <c r="D83" s="2"/>
      <c r="J83" s="1"/>
    </row>
    <row r="84" spans="2:10" ht="17.25" customHeight="1" x14ac:dyDescent="0.4">
      <c r="B84" s="2"/>
      <c r="C84" s="5"/>
      <c r="D84" s="2"/>
      <c r="J84" s="1"/>
    </row>
    <row r="85" spans="2:10" ht="17.25" customHeight="1" x14ac:dyDescent="0.4">
      <c r="B85" s="2"/>
      <c r="C85" s="5"/>
      <c r="D85" s="2"/>
      <c r="J85" s="1"/>
    </row>
    <row r="86" spans="2:10" ht="17.25" customHeight="1" x14ac:dyDescent="0.4">
      <c r="B86" s="2"/>
      <c r="C86" s="5"/>
      <c r="D86" s="2"/>
      <c r="J86" s="1"/>
    </row>
    <row r="87" spans="2:10" ht="17.25" customHeight="1" x14ac:dyDescent="0.4">
      <c r="B87" s="2"/>
      <c r="C87" s="5"/>
      <c r="D87" s="2"/>
      <c r="J87" s="1"/>
    </row>
    <row r="88" spans="2:10" ht="17.25" customHeight="1" x14ac:dyDescent="0.4">
      <c r="B88" s="2"/>
      <c r="C88" s="5"/>
      <c r="D88" s="2"/>
      <c r="J88" s="1"/>
    </row>
    <row r="89" spans="2:10" ht="17.25" customHeight="1" x14ac:dyDescent="0.4">
      <c r="B89" s="2"/>
      <c r="C89" s="5"/>
      <c r="D89" s="2"/>
      <c r="J89" s="1"/>
    </row>
    <row r="90" spans="2:10" ht="17.25" customHeight="1" x14ac:dyDescent="0.4">
      <c r="B90" s="2"/>
      <c r="C90" s="5"/>
      <c r="D90" s="2"/>
      <c r="J90" s="1"/>
    </row>
    <row r="91" spans="2:10" ht="17.25" customHeight="1" x14ac:dyDescent="0.4">
      <c r="B91" s="2"/>
      <c r="C91" s="5"/>
      <c r="D91" s="2"/>
      <c r="J91" s="1"/>
    </row>
    <row r="92" spans="2:10" ht="26.25" x14ac:dyDescent="0.4">
      <c r="B92" s="2"/>
      <c r="C92" s="5"/>
      <c r="D92" s="2"/>
      <c r="J92" s="1"/>
    </row>
    <row r="93" spans="2:10" ht="26.25" x14ac:dyDescent="0.4">
      <c r="C93" s="2"/>
      <c r="J93" s="1"/>
    </row>
    <row r="94" spans="2:10" ht="26.25" x14ac:dyDescent="0.4">
      <c r="C94" s="2"/>
      <c r="J94" s="1"/>
    </row>
    <row r="95" spans="2:10" ht="26.25" x14ac:dyDescent="0.4">
      <c r="C95" s="2"/>
      <c r="J95" s="1"/>
    </row>
    <row r="96" spans="2:10" ht="26.25" x14ac:dyDescent="0.4">
      <c r="C96" s="2"/>
      <c r="J96" s="1"/>
    </row>
    <row r="97" spans="3:10" ht="26.25" x14ac:dyDescent="0.4">
      <c r="C97" s="2"/>
      <c r="J97" s="1"/>
    </row>
    <row r="98" spans="3:10" ht="26.25" x14ac:dyDescent="0.4">
      <c r="C98" s="2"/>
      <c r="J98" s="1"/>
    </row>
    <row r="99" spans="3:10" ht="26.25" x14ac:dyDescent="0.4">
      <c r="C99" s="2"/>
      <c r="J99" s="1"/>
    </row>
    <row r="100" spans="3:10" ht="26.25" x14ac:dyDescent="0.4">
      <c r="C100" s="2"/>
      <c r="J100" s="1"/>
    </row>
    <row r="101" spans="3:10" ht="26.25" x14ac:dyDescent="0.4">
      <c r="C101" s="2"/>
      <c r="J101" s="1"/>
    </row>
    <row r="102" spans="3:10" ht="26.25" x14ac:dyDescent="0.4">
      <c r="C102" s="2"/>
      <c r="J102" s="1"/>
    </row>
    <row r="103" spans="3:10" ht="26.25" x14ac:dyDescent="0.4">
      <c r="C103" s="2"/>
      <c r="J103" s="1"/>
    </row>
    <row r="104" spans="3:10" ht="26.25" x14ac:dyDescent="0.4">
      <c r="C104" s="2"/>
      <c r="J104" s="1"/>
    </row>
    <row r="105" spans="3:10" ht="26.25" x14ac:dyDescent="0.4">
      <c r="C105" s="2"/>
      <c r="J105" s="1"/>
    </row>
    <row r="106" spans="3:10" ht="26.25" x14ac:dyDescent="0.4">
      <c r="C106" s="2"/>
      <c r="J106" s="1"/>
    </row>
    <row r="107" spans="3:10" ht="26.25" x14ac:dyDescent="0.4">
      <c r="C107" s="2"/>
      <c r="J107" s="1"/>
    </row>
    <row r="108" spans="3:10" ht="26.25" x14ac:dyDescent="0.4">
      <c r="C108" s="2"/>
      <c r="J108" s="1"/>
    </row>
    <row r="109" spans="3:10" ht="26.25" x14ac:dyDescent="0.4">
      <c r="C109" s="2"/>
      <c r="J109" s="1"/>
    </row>
    <row r="110" spans="3:10" ht="26.25" x14ac:dyDescent="0.4">
      <c r="C110" s="2"/>
      <c r="J110" s="1"/>
    </row>
    <row r="111" spans="3:10" ht="26.25" x14ac:dyDescent="0.4">
      <c r="C111" s="2"/>
      <c r="J111" s="1"/>
    </row>
    <row r="112" spans="3:10" ht="26.25" x14ac:dyDescent="0.4">
      <c r="C112" s="2"/>
      <c r="J112" s="1"/>
    </row>
    <row r="113" spans="3:10" ht="26.25" x14ac:dyDescent="0.4">
      <c r="C113" s="2"/>
      <c r="J113" s="1"/>
    </row>
    <row r="114" spans="3:10" ht="26.25" x14ac:dyDescent="0.4">
      <c r="C114" s="2"/>
      <c r="J114" s="1"/>
    </row>
    <row r="115" spans="3:10" ht="26.25" x14ac:dyDescent="0.4">
      <c r="C115" s="2"/>
      <c r="J115" s="1"/>
    </row>
    <row r="116" spans="3:10" x14ac:dyDescent="0.25">
      <c r="C116" s="2"/>
    </row>
    <row r="117" spans="3:10" x14ac:dyDescent="0.25">
      <c r="C117" s="2"/>
    </row>
  </sheetData>
  <mergeCells count="1">
    <mergeCell ref="H19:M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2</xdr:col>
                    <xdr:colOff>276225</xdr:colOff>
                    <xdr:row>5</xdr:row>
                    <xdr:rowOff>19050</xdr:rowOff>
                  </from>
                  <to>
                    <xdr:col>3</xdr:col>
                    <xdr:colOff>571500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2</xdr:col>
                    <xdr:colOff>276225</xdr:colOff>
                    <xdr:row>6</xdr:row>
                    <xdr:rowOff>123825</xdr:rowOff>
                  </from>
                  <to>
                    <xdr:col>3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276225</xdr:colOff>
                    <xdr:row>8</xdr:row>
                    <xdr:rowOff>28575</xdr:rowOff>
                  </from>
                  <to>
                    <xdr:col>3</xdr:col>
                    <xdr:colOff>628650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1">
                <anchor moveWithCells="1" sizeWithCells="1">
                  <from>
                    <xdr:col>2</xdr:col>
                    <xdr:colOff>809625</xdr:colOff>
                    <xdr:row>10</xdr:row>
                    <xdr:rowOff>123825</xdr:rowOff>
                  </from>
                  <to>
                    <xdr:col>4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cror">
                <anchor moveWithCells="1" sizeWithCells="1">
                  <from>
                    <xdr:col>2</xdr:col>
                    <xdr:colOff>809625</xdr:colOff>
                    <xdr:row>13</xdr:row>
                    <xdr:rowOff>28575</xdr:rowOff>
                  </from>
                  <to>
                    <xdr:col>4</xdr:col>
                    <xdr:colOff>381000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macro="[0]!MacroG">
                <anchor moveWithCells="1">
                  <from>
                    <xdr:col>6</xdr:col>
                    <xdr:colOff>1076325</xdr:colOff>
                    <xdr:row>9</xdr:row>
                    <xdr:rowOff>38100</xdr:rowOff>
                  </from>
                  <to>
                    <xdr:col>8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A18</dc:creator>
  <cp:lastModifiedBy>BABAS</cp:lastModifiedBy>
  <dcterms:created xsi:type="dcterms:W3CDTF">2018-07-04T21:22:58Z</dcterms:created>
  <dcterms:modified xsi:type="dcterms:W3CDTF">2023-03-31T17:09:45Z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5aa49319-5760-48dc-bcd0-acacfa3b060c</vt:lpwstr>
  </property>
</Properties>
</file>