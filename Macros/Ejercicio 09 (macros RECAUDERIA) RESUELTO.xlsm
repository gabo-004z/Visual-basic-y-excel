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ABAS\Desktop\Universidad_trimestres\Trimestre 22I\Informatica_Aplicada_para_la_Toma_de_Desiciones\"/>
    </mc:Choice>
  </mc:AlternateContent>
  <xr:revisionPtr revIDLastSave="0" documentId="13_ncr:1_{4857FA8E-C7FE-4655-84DF-A46E0702E33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Ejercicio" sheetId="3" r:id="rId1"/>
    <sheet name="Formulario" sheetId="1" r:id="rId2"/>
    <sheet name="Hoja de Datos" sheetId="4" r:id="rId3"/>
    <sheet name="Instrucciones macros" sheetId="5" state="hidden" r:id="rId4"/>
  </sheets>
  <definedNames>
    <definedName name="_xlnm._FilterDatabase" localSheetId="2" hidden="1">'Hoja de Datos'!$A$7:$C$355</definedName>
    <definedName name="_xlnm.Criteria" localSheetId="2">'Hoja de Datos'!$A$4:$C$5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1" l="1"/>
</calcChain>
</file>

<file path=xl/sharedStrings.xml><?xml version="1.0" encoding="utf-8"?>
<sst xmlns="http://schemas.openxmlformats.org/spreadsheetml/2006/main" count="75" uniqueCount="43">
  <si>
    <t>Producto:</t>
  </si>
  <si>
    <t>Cantidad:</t>
  </si>
  <si>
    <t>Precio:</t>
  </si>
  <si>
    <t>Zanahoria</t>
  </si>
  <si>
    <t>Mango</t>
  </si>
  <si>
    <t>Lechuga</t>
  </si>
  <si>
    <t>Ejercicio</t>
  </si>
  <si>
    <t>Hacer las macros de los botones de opción para que ordene por la columna respectiva</t>
  </si>
  <si>
    <t>Melón</t>
  </si>
  <si>
    <t>Plátano</t>
  </si>
  <si>
    <t>Hacer un formulario en una hoja de Excel para entrada de datos</t>
  </si>
  <si>
    <t>Introducir un botón de comando que corra una macro que introduzca los valores de este formulario en la hoja "hoja de datos", tanto arriba como abajo</t>
  </si>
  <si>
    <t>Ciruela</t>
  </si>
  <si>
    <t>Mandarina</t>
  </si>
  <si>
    <t>Recaudería " Aquí lo hay todo"</t>
  </si>
  <si>
    <t>Nombre</t>
  </si>
  <si>
    <t>$ / Kg</t>
  </si>
  <si>
    <t>Registro de COMPRAS</t>
  </si>
  <si>
    <t>Crear el espacio en la tabla</t>
  </si>
  <si>
    <t>Copiar los datos del formulario</t>
  </si>
  <si>
    <t>Pegar los datos en la tabla (arriba)</t>
  </si>
  <si>
    <t>Fin de la macro</t>
  </si>
  <si>
    <t>Ubicarme en el elemento (t+1)</t>
  </si>
  <si>
    <t>Posesionarme en el último dato de la primera columna (t)</t>
  </si>
  <si>
    <t>Nombre:</t>
  </si>
  <si>
    <t>$ / Kg:</t>
  </si>
  <si>
    <t>Instrucciones (Guardar arriba):</t>
  </si>
  <si>
    <t>Instrucciones (Guardar abajo):</t>
  </si>
  <si>
    <t>Instrucciones (agregar):</t>
  </si>
  <si>
    <t>Posesionarme en el primer dato de la primera columna</t>
  </si>
  <si>
    <t>Uso de referencias relativas</t>
  </si>
  <si>
    <t>Copiar los datos del producto</t>
  </si>
  <si>
    <t>Coco</t>
  </si>
  <si>
    <t>Producto</t>
  </si>
  <si>
    <t>Cantidad</t>
  </si>
  <si>
    <t>Precio</t>
  </si>
  <si>
    <t>Nuez</t>
  </si>
  <si>
    <t>Naranja</t>
  </si>
  <si>
    <t>Berenjena</t>
  </si>
  <si>
    <t>Ordenar por:</t>
  </si>
  <si>
    <t>Kiwi</t>
  </si>
  <si>
    <t>Jicama</t>
  </si>
  <si>
    <t>Aguacate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</si>
</sst>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$&quot;* #,##0.00_-;\-&quot;$&quot;* #,##0.00_-;_-&quot;$&quot;* &quot;-&quot;??_-;_-@_-"/>
    <numFmt numFmtId="165" formatCode="&quot;$&quot;#,##0.00"/>
    <numFmt numFmtId="166" formatCode="&quot;€&quot;#,##0.00"/>
    <numFmt numFmtId="167" formatCode="_-[$$-80A]* #,##0.00_-;\-[$$-80A]* #,##0.00_-;_-[$$-80A]* &quot;-&quot;??_-;_-@_-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sz val="14"/>
      <color theme="1"/>
      <name val="Adobe Garamond Pro"/>
      <family val="1"/>
    </font>
    <font>
      <sz val="11"/>
      <color theme="1"/>
      <name val="Adobe Garamond Pro"/>
      <family val="1"/>
    </font>
    <font>
      <b/>
      <i/>
      <sz val="20"/>
      <color theme="1"/>
      <name val="Adobe Garamond Pro"/>
      <family val="1"/>
    </font>
    <font>
      <b/>
      <i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ck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ck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ck">
        <color theme="9" tint="-0.499984740745262"/>
      </left>
      <right style="thick">
        <color theme="9" tint="-0.499984740745262"/>
      </right>
      <top/>
      <bottom style="thick">
        <color theme="9" tint="-0.499984740745262"/>
      </bottom>
      <diagonal/>
    </border>
    <border>
      <left style="thick">
        <color theme="9" tint="-0.499984740745262"/>
      </left>
      <right style="thin">
        <color indexed="64"/>
      </right>
      <top style="thick">
        <color theme="9" tint="-0.499984740745262"/>
      </top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ck">
        <color theme="9" tint="-0.499984740745262"/>
      </top>
      <bottom style="thick">
        <color theme="9" tint="-0.499984740745262"/>
      </bottom>
      <diagonal/>
    </border>
    <border>
      <left style="thin">
        <color indexed="64"/>
      </left>
      <right style="thick">
        <color theme="9" tint="-0.499984740745262"/>
      </right>
      <top style="thick">
        <color theme="9" tint="-0.499984740745262"/>
      </top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9" tint="-0.24994659260841701"/>
      </left>
      <right style="double">
        <color theme="9" tint="-0.24994659260841701"/>
      </right>
      <top style="double">
        <color theme="9" tint="-0.24994659260841701"/>
      </top>
      <bottom style="double">
        <color theme="9" tint="-0.24994659260841701"/>
      </bottom>
      <diagonal/>
    </border>
    <border>
      <left style="thick">
        <color theme="9" tint="-0.499984740745262"/>
      </left>
      <right/>
      <top style="thick">
        <color theme="9" tint="-0.499984740745262"/>
      </top>
      <bottom style="thick">
        <color theme="9" tint="-0.499984740745262"/>
      </bottom>
      <diagonal/>
    </border>
    <border>
      <left/>
      <right style="thick">
        <color theme="9" tint="-0.499984740745262"/>
      </right>
      <top style="thick">
        <color theme="9" tint="-0.499984740745262"/>
      </top>
      <bottom style="thick">
        <color theme="9" tint="-0.499984740745262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3">
    <xf numFmtId="0" fontId="0" fillId="0" borderId="0" xfId="0"/>
    <xf numFmtId="0" fontId="9" fillId="0" borderId="0" xfId="0" applyFont="1"/>
    <xf numFmtId="0" fontId="10" fillId="0" borderId="0" xfId="0" applyFont="1"/>
    <xf numFmtId="0" fontId="11" fillId="0" borderId="0" xfId="0" applyFont="1"/>
    <xf numFmtId="165" fontId="0" fillId="0" borderId="0" xfId="1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0" fontId="0" fillId="0" borderId="1" xfId="0" applyBorder="1"/>
    <xf numFmtId="165" fontId="2" fillId="2" borderId="13" xfId="1" applyNumberFormat="1" applyFont="1" applyFill="1" applyBorder="1" applyAlignment="1">
      <alignment horizontal="right"/>
    </xf>
    <xf numFmtId="0" fontId="0" fillId="0" borderId="17" xfId="0" applyBorder="1"/>
    <xf numFmtId="165" fontId="0" fillId="0" borderId="17" xfId="1" applyNumberFormat="1" applyFont="1" applyBorder="1" applyAlignment="1">
      <alignment horizontal="right"/>
    </xf>
    <xf numFmtId="0" fontId="6" fillId="0" borderId="0" xfId="0" applyFont="1" applyProtection="1">
      <protection locked="0"/>
    </xf>
    <xf numFmtId="0" fontId="0" fillId="0" borderId="0" xfId="0" applyProtection="1">
      <protection locked="0"/>
    </xf>
    <xf numFmtId="165" fontId="6" fillId="0" borderId="0" xfId="0" applyNumberFormat="1" applyFont="1" applyProtection="1">
      <protection locked="0"/>
    </xf>
    <xf numFmtId="0" fontId="4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1" xfId="0" applyFill="1" applyBorder="1" applyProtection="1">
      <protection locked="0"/>
    </xf>
    <xf numFmtId="165" fontId="0" fillId="0" borderId="1" xfId="0" applyNumberFormat="1" applyFill="1" applyBorder="1" applyProtection="1">
      <protection locked="0"/>
    </xf>
    <xf numFmtId="165" fontId="0" fillId="4" borderId="0" xfId="0" applyNumberFormat="1" applyFill="1" applyBorder="1" applyProtection="1"/>
    <xf numFmtId="0" fontId="0" fillId="0" borderId="1" xfId="0" applyBorder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4" xfId="0" applyFill="1" applyBorder="1" applyProtection="1"/>
    <xf numFmtId="0" fontId="4" fillId="0" borderId="0" xfId="0" applyFont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0" applyFont="1" applyFill="1" applyBorder="1" applyAlignment="1" applyProtection="1">
      <alignment horizontal="right"/>
    </xf>
    <xf numFmtId="0" fontId="0" fillId="5" borderId="0" xfId="0" applyFill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9" xfId="0" applyFill="1" applyBorder="1" applyProtection="1"/>
    <xf numFmtId="0" fontId="6" fillId="0" borderId="0" xfId="0" applyFont="1"/>
    <xf numFmtId="165" fontId="0" fillId="0" borderId="1" xfId="0" applyNumberFormat="1" applyBorder="1" applyProtection="1">
      <protection locked="0"/>
    </xf>
    <xf numFmtId="0" fontId="0" fillId="0" borderId="18" xfId="0" applyBorder="1"/>
    <xf numFmtId="0" fontId="14" fillId="0" borderId="0" xfId="0" applyFont="1" applyProtection="1"/>
    <xf numFmtId="0" fontId="13" fillId="0" borderId="0" xfId="0" applyFont="1" applyProtection="1"/>
    <xf numFmtId="0" fontId="13" fillId="0" borderId="0" xfId="0" applyFont="1" applyProtection="1">
      <protection locked="0"/>
    </xf>
    <xf numFmtId="165" fontId="13" fillId="0" borderId="0" xfId="0" applyNumberFormat="1" applyFont="1" applyProtection="1">
      <protection locked="0"/>
    </xf>
    <xf numFmtId="165" fontId="13" fillId="0" borderId="0" xfId="1" applyNumberFormat="1" applyFont="1" applyProtection="1">
      <protection locked="0"/>
    </xf>
    <xf numFmtId="0" fontId="2" fillId="0" borderId="0" xfId="0" applyFont="1" applyFill="1" applyBorder="1" applyAlignment="1">
      <alignment horizontal="center" vertical="center"/>
    </xf>
    <xf numFmtId="165" fontId="2" fillId="0" borderId="0" xfId="1" applyNumberFormat="1" applyFont="1" applyFill="1" applyBorder="1" applyAlignment="1">
      <alignment horizontal="right"/>
    </xf>
    <xf numFmtId="165" fontId="4" fillId="0" borderId="0" xfId="1" applyNumberFormat="1" applyFont="1" applyProtection="1"/>
    <xf numFmtId="165" fontId="0" fillId="0" borderId="1" xfId="1" applyNumberFormat="1" applyFont="1" applyBorder="1"/>
    <xf numFmtId="165" fontId="0" fillId="0" borderId="1" xfId="1" applyNumberFormat="1" applyFont="1" applyBorder="1" applyProtection="1">
      <protection locked="0"/>
    </xf>
    <xf numFmtId="0" fontId="0" fillId="0" borderId="0" xfId="0" applyFont="1" applyProtection="1"/>
    <xf numFmtId="165" fontId="0" fillId="0" borderId="0" xfId="1" applyNumberFormat="1" applyFont="1" applyProtection="1"/>
    <xf numFmtId="0" fontId="0" fillId="0" borderId="0" xfId="0" applyFont="1" applyProtection="1">
      <protection locked="0"/>
    </xf>
    <xf numFmtId="165" fontId="0" fillId="0" borderId="0" xfId="0" applyNumberFormat="1" applyFont="1" applyProtection="1">
      <protection locked="0"/>
    </xf>
    <xf numFmtId="0" fontId="0" fillId="0" borderId="1" xfId="0" applyBorder="1" applyProtection="1"/>
    <xf numFmtId="165" fontId="0" fillId="0" borderId="18" xfId="1" applyNumberFormat="1" applyFont="1" applyBorder="1" applyAlignment="1">
      <alignment horizontal="right"/>
    </xf>
    <xf numFmtId="0" fontId="0" fillId="0" borderId="18" xfId="0" applyBorder="1" applyProtection="1"/>
    <xf numFmtId="0" fontId="0" fillId="0" borderId="18" xfId="0" applyBorder="1" applyProtection="1">
      <protection locked="0"/>
    </xf>
    <xf numFmtId="165" fontId="0" fillId="0" borderId="18" xfId="0" applyNumberFormat="1" applyBorder="1" applyProtection="1">
      <protection locked="0"/>
    </xf>
    <xf numFmtId="0" fontId="0" fillId="0" borderId="17" xfId="0" applyBorder="1" applyProtection="1">
      <protection locked="0"/>
    </xf>
    <xf numFmtId="165" fontId="0" fillId="0" borderId="17" xfId="1" applyNumberFormat="1" applyFont="1" applyBorder="1" applyProtection="1">
      <protection locked="0"/>
    </xf>
    <xf numFmtId="0" fontId="0" fillId="0" borderId="17" xfId="0" applyBorder="1" applyProtection="1"/>
    <xf numFmtId="165" fontId="0" fillId="0" borderId="17" xfId="0" applyNumberFormat="1" applyBorder="1" applyProtection="1">
      <protection locked="0"/>
    </xf>
    <xf numFmtId="0" fontId="4" fillId="0" borderId="0" xfId="0" applyFont="1" applyFill="1" applyProtection="1"/>
    <xf numFmtId="0" fontId="14" fillId="0" borderId="0" xfId="0" applyFont="1" applyFill="1" applyAlignment="1" applyProtection="1">
      <alignment horizontal="left" vertical="center"/>
    </xf>
    <xf numFmtId="0" fontId="14" fillId="0" borderId="0" xfId="0" applyFont="1" applyFill="1" applyAlignment="1" applyProtection="1">
      <alignment horizontal="right" vertical="center"/>
    </xf>
    <xf numFmtId="0" fontId="16" fillId="2" borderId="19" xfId="0" applyFont="1" applyFill="1" applyBorder="1" applyAlignment="1">
      <alignment horizontal="center" vertical="center"/>
    </xf>
    <xf numFmtId="165" fontId="16" fillId="2" borderId="19" xfId="1" applyNumberFormat="1" applyFont="1" applyFill="1" applyBorder="1" applyAlignment="1">
      <alignment horizontal="center" vertical="center"/>
    </xf>
    <xf numFmtId="0" fontId="15" fillId="0" borderId="17" xfId="0" applyFont="1" applyBorder="1" applyProtection="1"/>
    <xf numFmtId="0" fontId="15" fillId="0" borderId="17" xfId="0" applyFont="1" applyBorder="1" applyAlignment="1" applyProtection="1">
      <alignment horizontal="right"/>
      <protection locked="0"/>
    </xf>
    <xf numFmtId="165" fontId="15" fillId="0" borderId="17" xfId="0" applyNumberFormat="1" applyFont="1" applyBorder="1" applyAlignment="1" applyProtection="1">
      <alignment horizontal="right"/>
      <protection locked="0"/>
    </xf>
    <xf numFmtId="0" fontId="17" fillId="6" borderId="19" xfId="0" applyFont="1" applyFill="1" applyBorder="1" applyAlignment="1">
      <alignment horizontal="center" vertical="center"/>
    </xf>
    <xf numFmtId="165" fontId="17" fillId="6" borderId="19" xfId="1" applyNumberFormat="1" applyFont="1" applyFill="1" applyBorder="1" applyAlignment="1">
      <alignment horizontal="right"/>
    </xf>
    <xf numFmtId="165" fontId="0" fillId="0" borderId="18" xfId="1" applyNumberFormat="1" applyFont="1" applyBorder="1"/>
    <xf numFmtId="167" fontId="4" fillId="0" borderId="0" xfId="1" applyNumberFormat="1" applyFont="1" applyFill="1" applyProtection="1"/>
    <xf numFmtId="167" fontId="4" fillId="0" borderId="0" xfId="0" applyNumberFormat="1" applyFont="1" applyFill="1" applyProtection="1"/>
    <xf numFmtId="166" fontId="0" fillId="0" borderId="18" xfId="0" applyNumberFormat="1" applyBorder="1" applyProtection="1">
      <protection locked="0"/>
    </xf>
    <xf numFmtId="166" fontId="0" fillId="0" borderId="17" xfId="0" applyNumberFormat="1" applyBorder="1" applyProtection="1">
      <protection locked="0"/>
    </xf>
    <xf numFmtId="0" fontId="5" fillId="3" borderId="10" xfId="0" applyFont="1" applyFill="1" applyBorder="1" applyAlignment="1" applyProtection="1">
      <alignment horizontal="center" vertical="center"/>
    </xf>
    <xf numFmtId="0" fontId="5" fillId="3" borderId="11" xfId="0" applyFont="1" applyFill="1" applyBorder="1" applyAlignment="1" applyProtection="1">
      <alignment horizontal="center" vertical="center"/>
    </xf>
    <xf numFmtId="0" fontId="5" fillId="3" borderId="12" xfId="0" applyFont="1" applyFill="1" applyBorder="1" applyAlignment="1" applyProtection="1">
      <alignment horizontal="center" vertical="center"/>
    </xf>
    <xf numFmtId="0" fontId="12" fillId="2" borderId="14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6" fillId="2" borderId="20" xfId="0" applyFont="1" applyFill="1" applyBorder="1" applyAlignment="1">
      <alignment horizontal="right" vertical="top"/>
    </xf>
    <xf numFmtId="0" fontId="16" fillId="2" borderId="21" xfId="0" applyFont="1" applyFill="1" applyBorder="1" applyAlignment="1">
      <alignment horizontal="right" vertical="top"/>
    </xf>
    <xf numFmtId="166" fontId="0" fillId="0" borderId="1" xfId="0" applyNumberFormat="1" applyBorder="1" applyProtection="1">
      <protection locked="0"/>
    </xf>
  </cellXfs>
  <cellStyles count="2">
    <cellStyle name="Moneda" xfId="1" builtinId="4"/>
    <cellStyle name="Normal" xfId="0" builtinId="0"/>
  </cellStyles>
  <dxfs count="4">
    <dxf>
      <font>
        <color theme="9" tint="-0.24994659260841701"/>
      </font>
      <fill>
        <patternFill>
          <bgColor theme="9" tint="-0.24994659260841701"/>
        </patternFill>
      </fill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A$2" lockText="1"/>
</file>

<file path=xl/ctrlProps/ctrlProp5.xml><?xml version="1.0" encoding="utf-8"?>
<formControlPr xmlns="http://schemas.microsoft.com/office/spreadsheetml/2009/9/main" objectType="Radio" firstButton="1" lockText="1"/>
</file>

<file path=xl/ctrlProps/ctrlProp6.xml><?xml version="1.0" encoding="utf-8"?>
<formControlPr xmlns="http://schemas.microsoft.com/office/spreadsheetml/2009/9/main" objectType="Radio" lockText="1"/>
</file>

<file path=xl/ctrlProps/ctrlProp7.xml><?xml version="1.0" encoding="utf-8"?>
<formControlPr xmlns="http://schemas.microsoft.com/office/spreadsheetml/2009/9/main" objectType="Radio" checked="Checked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990599</xdr:colOff>
      <xdr:row>16</xdr:row>
      <xdr:rowOff>19050</xdr:rowOff>
    </xdr:from>
    <xdr:to>
      <xdr:col>6</xdr:col>
      <xdr:colOff>847724</xdr:colOff>
      <xdr:row>17</xdr:row>
      <xdr:rowOff>152400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467349" y="3286125"/>
          <a:ext cx="1019175" cy="32385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12</xdr:row>
          <xdr:rowOff>152400</xdr:rowOff>
        </xdr:from>
        <xdr:to>
          <xdr:col>3</xdr:col>
          <xdr:colOff>1104900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 Narrow"/>
                </a:rPr>
                <a:t>Guardar (Arriba)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15</xdr:row>
          <xdr:rowOff>28575</xdr:rowOff>
        </xdr:from>
        <xdr:to>
          <xdr:col>3</xdr:col>
          <xdr:colOff>1095375</xdr:colOff>
          <xdr:row>16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rial Narrow"/>
                </a:rPr>
                <a:t>Guardar (Abajo)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95250</xdr:colOff>
      <xdr:row>4</xdr:row>
      <xdr:rowOff>13946</xdr:rowOff>
    </xdr:from>
    <xdr:to>
      <xdr:col>7</xdr:col>
      <xdr:colOff>0</xdr:colOff>
      <xdr:row>11</xdr:row>
      <xdr:rowOff>104775</xdr:rowOff>
    </xdr:to>
    <xdr:pic>
      <xdr:nvPicPr>
        <xdr:cNvPr id="5" name="Imagen 4" descr="conacyemtoluca.files.wordpress.com/2012/08/reca...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67225" y="995021"/>
          <a:ext cx="2000250" cy="1424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1019175</xdr:colOff>
          <xdr:row>16</xdr:row>
          <xdr:rowOff>76200</xdr:rowOff>
        </xdr:from>
        <xdr:to>
          <xdr:col>6</xdr:col>
          <xdr:colOff>447675</xdr:colOff>
          <xdr:row>17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9525</xdr:rowOff>
        </xdr:from>
        <xdr:to>
          <xdr:col>6</xdr:col>
          <xdr:colOff>0</xdr:colOff>
          <xdr:row>13</xdr:row>
          <xdr:rowOff>47625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>
                <a:alpha val="33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Nuevo producto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742950</xdr:colOff>
      <xdr:row>11</xdr:row>
      <xdr:rowOff>161925</xdr:rowOff>
    </xdr:from>
    <xdr:to>
      <xdr:col>6</xdr:col>
      <xdr:colOff>257175</xdr:colOff>
      <xdr:row>13</xdr:row>
      <xdr:rowOff>114300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57700" y="2476500"/>
          <a:ext cx="1438275" cy="333375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47625</xdr:rowOff>
        </xdr:from>
        <xdr:to>
          <xdr:col>2</xdr:col>
          <xdr:colOff>981075</xdr:colOff>
          <xdr:row>1</xdr:row>
          <xdr:rowOff>247650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FFCC99">
                    <a:alpha val="69000"/>
                  </a:srgbClr>
                </a:gs>
                <a:gs pos="100000">
                  <a:srgbClr val="FFCC99">
                    <a:gamma/>
                    <a:shade val="88235"/>
                    <a:invGamma/>
                  </a:srgbClr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Producto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295275</xdr:rowOff>
        </xdr:from>
        <xdr:to>
          <xdr:col>2</xdr:col>
          <xdr:colOff>981075</xdr:colOff>
          <xdr:row>1</xdr:row>
          <xdr:rowOff>514350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FFCC99">
                    <a:alpha val="69000"/>
                  </a:srgbClr>
                </a:gs>
                <a:gs pos="100000">
                  <a:srgbClr val="FFCC99">
                    <a:gamma/>
                    <a:shade val="88235"/>
                    <a:invGamma/>
                  </a:srgbClr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(Kg)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</xdr:row>
          <xdr:rowOff>561975</xdr:rowOff>
        </xdr:from>
        <xdr:to>
          <xdr:col>2</xdr:col>
          <xdr:colOff>981075</xdr:colOff>
          <xdr:row>1</xdr:row>
          <xdr:rowOff>781050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gradFill rotWithShape="1">
              <a:gsLst>
                <a:gs pos="0">
                  <a:srgbClr val="FFCC99">
                    <a:alpha val="69000"/>
                  </a:srgbClr>
                </a:gs>
                <a:gs pos="100000">
                  <a:srgbClr val="FFCC99">
                    <a:gamma/>
                    <a:shade val="88235"/>
                    <a:invGamma/>
                  </a:srgbClr>
                </a:gs>
              </a:gsLst>
              <a:lin ang="5400000" scaled="1"/>
            </a:gra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3</xdr:row>
          <xdr:rowOff>19050</xdr:rowOff>
        </xdr:from>
        <xdr:to>
          <xdr:col>3</xdr:col>
          <xdr:colOff>714375</xdr:colOff>
          <xdr:row>3</xdr:row>
          <xdr:rowOff>266700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J4:J17" totalsRowShown="0" headerRowDxfId="3" dataDxfId="2">
  <autoFilter ref="J4:J17" xr:uid="{00000000-0009-0000-0100-000001000000}">
    <filterColumn colId="0" hiddenButton="1"/>
  </autoFilter>
  <tableColumns count="1">
    <tableColumn id="1" xr3:uid="{00000000-0010-0000-0000-000001000000}" name="Nombre" dataDxfId="1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A9"/>
  <sheetViews>
    <sheetView showGridLines="0" workbookViewId="0">
      <selection activeCell="D23" sqref="D23"/>
    </sheetView>
  </sheetViews>
  <sheetFormatPr baseColWidth="10" defaultRowHeight="15"/>
  <sheetData>
    <row r="2" spans="1:1" ht="25.5">
      <c r="A2" s="3" t="s">
        <v>6</v>
      </c>
    </row>
    <row r="3" spans="1:1" ht="18.75">
      <c r="A3" s="1"/>
    </row>
    <row r="4" spans="1:1" ht="18.75">
      <c r="A4" s="1" t="s">
        <v>10</v>
      </c>
    </row>
    <row r="5" spans="1:1" ht="18.75">
      <c r="A5" s="1"/>
    </row>
    <row r="6" spans="1:1" ht="18.75">
      <c r="A6" s="1" t="s">
        <v>11</v>
      </c>
    </row>
    <row r="7" spans="1:1" ht="18.75">
      <c r="A7" s="1"/>
    </row>
    <row r="8" spans="1:1" ht="18.75">
      <c r="A8" s="1" t="s">
        <v>7</v>
      </c>
    </row>
    <row r="9" spans="1:1">
      <c r="A9" s="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N37"/>
  <sheetViews>
    <sheetView showGridLines="0" tabSelected="1" zoomScaleNormal="100" workbookViewId="0"/>
  </sheetViews>
  <sheetFormatPr baseColWidth="10" defaultRowHeight="15"/>
  <cols>
    <col min="1" max="1" width="13" style="20" customWidth="1"/>
    <col min="2" max="3" width="11.42578125" style="20"/>
    <col min="4" max="4" width="19.85546875" style="20" customWidth="1"/>
    <col min="5" max="5" width="11.42578125" style="20"/>
    <col min="6" max="6" width="17.42578125" style="20" customWidth="1"/>
    <col min="7" max="7" width="14" style="20" customWidth="1"/>
    <col min="8" max="8" width="11.85546875" style="20" bestFit="1" customWidth="1"/>
    <col min="9" max="9" width="11.42578125" style="20"/>
    <col min="10" max="10" width="11.42578125" style="19"/>
    <col min="11" max="11" width="5.140625" style="19" customWidth="1"/>
    <col min="12" max="16384" width="11.42578125" style="20"/>
  </cols>
  <sheetData>
    <row r="1" spans="1:14">
      <c r="A1" s="37"/>
    </row>
    <row r="2" spans="1:14" ht="15.75" thickBot="1">
      <c r="A2" s="10" t="b">
        <v>1</v>
      </c>
      <c r="H2" s="37"/>
      <c r="I2" s="46"/>
      <c r="J2" s="46"/>
      <c r="K2" s="46"/>
      <c r="L2" s="46"/>
      <c r="M2" s="46"/>
      <c r="N2" s="46"/>
    </row>
    <row r="3" spans="1:14" ht="15.75" thickTop="1">
      <c r="A3" s="37"/>
      <c r="B3" s="21"/>
      <c r="C3" s="22"/>
      <c r="D3" s="22"/>
      <c r="E3" s="22"/>
      <c r="F3" s="22"/>
      <c r="G3" s="23"/>
      <c r="H3" s="37"/>
      <c r="I3" s="59"/>
      <c r="J3" s="59"/>
      <c r="K3" s="59"/>
      <c r="L3" s="59"/>
      <c r="M3" s="59"/>
      <c r="N3" s="59"/>
    </row>
    <row r="4" spans="1:14" ht="30.75" customHeight="1">
      <c r="A4" s="37"/>
      <c r="B4" s="74" t="s">
        <v>14</v>
      </c>
      <c r="C4" s="75"/>
      <c r="D4" s="75"/>
      <c r="E4" s="75"/>
      <c r="F4" s="75"/>
      <c r="G4" s="76"/>
      <c r="H4" s="37"/>
      <c r="I4" s="59"/>
      <c r="J4" s="60" t="s">
        <v>15</v>
      </c>
      <c r="K4" s="60"/>
      <c r="L4" s="61" t="s">
        <v>16</v>
      </c>
      <c r="M4" s="59"/>
      <c r="N4" s="59"/>
    </row>
    <row r="5" spans="1:14">
      <c r="A5" s="37"/>
      <c r="B5" s="25"/>
      <c r="C5" s="26"/>
      <c r="D5" s="26"/>
      <c r="E5" s="26"/>
      <c r="F5" s="26"/>
      <c r="G5" s="27"/>
      <c r="H5" s="37"/>
      <c r="I5" s="59"/>
      <c r="J5" s="59" t="s">
        <v>5</v>
      </c>
      <c r="K5" s="71"/>
      <c r="L5" s="70">
        <v>11</v>
      </c>
      <c r="M5" s="59"/>
      <c r="N5" s="59"/>
    </row>
    <row r="6" spans="1:14">
      <c r="A6" s="37"/>
      <c r="B6" s="25"/>
      <c r="C6" s="28" t="s">
        <v>0</v>
      </c>
      <c r="D6" s="13"/>
      <c r="E6" s="26"/>
      <c r="F6" s="26"/>
      <c r="G6" s="27"/>
      <c r="H6" s="37"/>
      <c r="I6" s="59"/>
      <c r="J6" s="59" t="s">
        <v>3</v>
      </c>
      <c r="K6" s="71"/>
      <c r="L6" s="70">
        <v>17.5</v>
      </c>
      <c r="M6" s="59"/>
      <c r="N6" s="59"/>
    </row>
    <row r="7" spans="1:14">
      <c r="A7" s="37"/>
      <c r="B7" s="25"/>
      <c r="C7" s="28"/>
      <c r="D7" s="26"/>
      <c r="E7" s="26"/>
      <c r="F7" s="26"/>
      <c r="G7" s="27"/>
      <c r="H7" s="37"/>
      <c r="I7" s="59"/>
      <c r="J7" s="59" t="s">
        <v>8</v>
      </c>
      <c r="K7" s="71"/>
      <c r="L7" s="70">
        <v>12</v>
      </c>
      <c r="M7" s="59"/>
      <c r="N7" s="59"/>
    </row>
    <row r="8" spans="1:14">
      <c r="A8" s="37"/>
      <c r="B8" s="25"/>
      <c r="C8" s="28" t="s">
        <v>1</v>
      </c>
      <c r="D8" s="14"/>
      <c r="E8" s="26"/>
      <c r="F8" s="26"/>
      <c r="G8" s="27"/>
      <c r="H8" s="37"/>
      <c r="I8" s="59"/>
      <c r="J8" s="59" t="s">
        <v>9</v>
      </c>
      <c r="K8" s="71"/>
      <c r="L8" s="70">
        <v>40</v>
      </c>
      <c r="M8" s="59"/>
      <c r="N8" s="59"/>
    </row>
    <row r="9" spans="1:14">
      <c r="A9" s="37"/>
      <c r="B9" s="25"/>
      <c r="C9" s="28"/>
      <c r="D9" s="26"/>
      <c r="E9" s="26"/>
      <c r="F9" s="26"/>
      <c r="G9" s="27"/>
      <c r="H9" s="37"/>
      <c r="I9" s="59"/>
      <c r="J9" s="59" t="s">
        <v>4</v>
      </c>
      <c r="K9" s="71"/>
      <c r="L9" s="70">
        <v>28</v>
      </c>
      <c r="M9" s="59"/>
      <c r="N9" s="59"/>
    </row>
    <row r="10" spans="1:14">
      <c r="A10" s="37"/>
      <c r="B10" s="25"/>
      <c r="C10" s="28" t="s">
        <v>2</v>
      </c>
      <c r="D10" s="17" t="str">
        <f>IFERROR(VLOOKUP(D6,J4:L1000,3,FALSE)*D8,"")</f>
        <v/>
      </c>
      <c r="E10" s="26"/>
      <c r="F10" s="26"/>
      <c r="G10" s="27"/>
      <c r="H10" s="37"/>
      <c r="I10" s="59"/>
      <c r="J10" s="59" t="s">
        <v>12</v>
      </c>
      <c r="K10" s="71"/>
      <c r="L10" s="70">
        <v>47</v>
      </c>
      <c r="M10" s="59"/>
      <c r="N10" s="59"/>
    </row>
    <row r="11" spans="1:14">
      <c r="A11" s="37"/>
      <c r="B11" s="25"/>
      <c r="C11" s="26"/>
      <c r="D11" s="26"/>
      <c r="E11" s="26"/>
      <c r="F11" s="26"/>
      <c r="G11" s="27"/>
      <c r="H11" s="37"/>
      <c r="I11" s="59"/>
      <c r="J11" s="59" t="s">
        <v>13</v>
      </c>
      <c r="K11" s="71"/>
      <c r="L11" s="70">
        <v>28.5</v>
      </c>
      <c r="M11" s="59"/>
      <c r="N11" s="59"/>
    </row>
    <row r="12" spans="1:14">
      <c r="A12" s="37"/>
      <c r="B12" s="25"/>
      <c r="C12" s="26"/>
      <c r="D12" s="26"/>
      <c r="E12" s="26"/>
      <c r="F12" s="26"/>
      <c r="G12" s="27"/>
      <c r="H12" s="37"/>
      <c r="I12" s="59"/>
      <c r="J12" s="59" t="s">
        <v>36</v>
      </c>
      <c r="K12" s="71"/>
      <c r="L12" s="70">
        <v>18.5</v>
      </c>
      <c r="M12" s="59"/>
      <c r="N12" s="59"/>
    </row>
    <row r="13" spans="1:14">
      <c r="A13" s="37"/>
      <c r="B13" s="25"/>
      <c r="C13" s="26"/>
      <c r="D13" s="26"/>
      <c r="E13" s="26"/>
      <c r="F13" s="26"/>
      <c r="G13" s="27"/>
      <c r="H13" s="37"/>
      <c r="I13" s="59"/>
      <c r="J13" s="59" t="s">
        <v>37</v>
      </c>
      <c r="K13" s="71"/>
      <c r="L13" s="70">
        <v>12</v>
      </c>
      <c r="M13" s="59"/>
      <c r="N13" s="59"/>
    </row>
    <row r="14" spans="1:14">
      <c r="B14" s="25"/>
      <c r="C14" s="26"/>
      <c r="D14" s="26"/>
      <c r="E14" s="26"/>
      <c r="F14" s="26"/>
      <c r="G14" s="27"/>
      <c r="H14" s="37"/>
      <c r="I14" s="59"/>
      <c r="J14" s="59" t="s">
        <v>38</v>
      </c>
      <c r="K14" s="71"/>
      <c r="L14" s="70">
        <v>28</v>
      </c>
      <c r="M14" s="59"/>
      <c r="N14" s="59"/>
    </row>
    <row r="15" spans="1:14">
      <c r="B15" s="25"/>
      <c r="C15" s="26"/>
      <c r="D15" s="26"/>
      <c r="E15" s="28" t="s">
        <v>24</v>
      </c>
      <c r="F15" s="15"/>
      <c r="G15" s="27"/>
      <c r="H15" s="37"/>
      <c r="I15" s="59"/>
      <c r="J15" s="59" t="s">
        <v>40</v>
      </c>
      <c r="K15" s="71"/>
      <c r="L15" s="70">
        <v>33.4</v>
      </c>
      <c r="M15" s="59"/>
      <c r="N15" s="59"/>
    </row>
    <row r="16" spans="1:14">
      <c r="B16" s="25"/>
      <c r="C16" s="26"/>
      <c r="D16" s="26"/>
      <c r="E16" s="28" t="s">
        <v>25</v>
      </c>
      <c r="F16" s="16"/>
      <c r="G16" s="27"/>
      <c r="H16" s="37"/>
      <c r="I16" s="59"/>
      <c r="J16" s="59" t="s">
        <v>41</v>
      </c>
      <c r="K16" s="71"/>
      <c r="L16" s="70">
        <v>21.9</v>
      </c>
      <c r="M16" s="59"/>
      <c r="N16" s="59"/>
    </row>
    <row r="17" spans="2:14">
      <c r="B17" s="25"/>
      <c r="C17" s="26"/>
      <c r="D17" s="26"/>
      <c r="E17" s="26"/>
      <c r="F17" s="26"/>
      <c r="G17" s="27"/>
      <c r="H17" s="37"/>
      <c r="I17" s="59"/>
      <c r="J17" s="59" t="s">
        <v>42</v>
      </c>
      <c r="K17" s="71"/>
      <c r="L17" s="70">
        <v>60</v>
      </c>
      <c r="M17" s="59"/>
      <c r="N17" s="59"/>
    </row>
    <row r="18" spans="2:14" ht="15.75" thickBot="1">
      <c r="B18" s="30"/>
      <c r="C18" s="31"/>
      <c r="D18" s="31"/>
      <c r="E18" s="31"/>
      <c r="F18" s="31"/>
      <c r="G18" s="32"/>
      <c r="H18" s="37"/>
      <c r="I18" s="24"/>
      <c r="J18" s="24"/>
      <c r="K18" s="24"/>
      <c r="L18" s="43"/>
      <c r="M18" s="24"/>
      <c r="N18" s="24"/>
    </row>
    <row r="19" spans="2:14" ht="15.75" thickTop="1">
      <c r="E19" s="19"/>
      <c r="F19" s="19"/>
      <c r="H19" s="37"/>
      <c r="I19" s="24"/>
      <c r="J19" s="24"/>
      <c r="K19" s="24"/>
      <c r="L19" s="43"/>
      <c r="M19" s="24"/>
      <c r="N19" s="24"/>
    </row>
    <row r="20" spans="2:14">
      <c r="E20" s="19"/>
      <c r="F20" s="10"/>
      <c r="H20" s="37"/>
      <c r="I20" s="24"/>
      <c r="J20" s="24"/>
      <c r="K20" s="24"/>
      <c r="L20" s="43"/>
      <c r="M20" s="24"/>
      <c r="N20" s="24"/>
    </row>
    <row r="21" spans="2:14">
      <c r="D21" s="11"/>
      <c r="E21" s="19"/>
      <c r="F21" s="12"/>
      <c r="H21" s="37"/>
      <c r="I21" s="24"/>
      <c r="J21" s="24"/>
      <c r="K21" s="24"/>
      <c r="L21" s="43"/>
      <c r="M21" s="24"/>
      <c r="N21" s="24"/>
    </row>
    <row r="22" spans="2:14">
      <c r="D22" s="11"/>
      <c r="E22" s="19"/>
      <c r="F22" s="19"/>
      <c r="H22" s="37"/>
      <c r="I22" s="24"/>
      <c r="J22" s="24"/>
      <c r="K22" s="24"/>
      <c r="L22" s="43"/>
      <c r="M22" s="24"/>
      <c r="N22" s="24"/>
    </row>
    <row r="23" spans="2:14">
      <c r="D23" s="11"/>
      <c r="E23" s="19"/>
      <c r="F23" s="19"/>
      <c r="H23" s="37"/>
      <c r="I23" s="46"/>
      <c r="J23" s="48"/>
      <c r="K23" s="46"/>
      <c r="L23" s="47"/>
      <c r="M23" s="46"/>
      <c r="N23" s="46"/>
    </row>
    <row r="24" spans="2:14">
      <c r="E24" s="19"/>
      <c r="F24" s="10"/>
      <c r="H24" s="37"/>
      <c r="I24" s="46"/>
      <c r="J24" s="38"/>
      <c r="K24" s="46"/>
      <c r="L24" s="47"/>
      <c r="M24" s="46"/>
      <c r="N24" s="46"/>
    </row>
    <row r="25" spans="2:14">
      <c r="H25" s="37"/>
      <c r="I25" s="46"/>
      <c r="J25" s="38"/>
      <c r="K25" s="48"/>
      <c r="L25" s="49"/>
      <c r="M25" s="46"/>
      <c r="N25" s="46"/>
    </row>
    <row r="26" spans="2:14">
      <c r="H26" s="37"/>
      <c r="I26" s="37"/>
      <c r="J26" s="38"/>
      <c r="K26" s="38"/>
      <c r="L26" s="39"/>
      <c r="M26" s="37"/>
    </row>
    <row r="27" spans="2:14">
      <c r="H27" s="37"/>
      <c r="I27" s="37"/>
      <c r="J27" s="38"/>
      <c r="K27" s="38"/>
      <c r="L27" s="39"/>
      <c r="M27" s="37"/>
    </row>
    <row r="28" spans="2:14">
      <c r="H28" s="37"/>
      <c r="I28" s="37"/>
      <c r="J28" s="38"/>
      <c r="K28" s="38"/>
      <c r="L28" s="39"/>
      <c r="M28" s="37"/>
    </row>
    <row r="29" spans="2:14">
      <c r="H29" s="37"/>
      <c r="I29" s="37"/>
      <c r="J29" s="38"/>
      <c r="K29" s="38"/>
      <c r="L29" s="40"/>
      <c r="M29" s="37"/>
    </row>
    <row r="30" spans="2:14">
      <c r="H30" s="37"/>
      <c r="I30" s="37"/>
      <c r="J30" s="38"/>
      <c r="K30" s="38"/>
      <c r="L30" s="40"/>
      <c r="M30" s="37"/>
    </row>
    <row r="31" spans="2:14">
      <c r="H31" s="37"/>
      <c r="I31" s="37"/>
      <c r="J31" s="38"/>
      <c r="K31" s="38"/>
      <c r="L31" s="40"/>
      <c r="M31" s="37"/>
    </row>
    <row r="32" spans="2:14">
      <c r="H32" s="37"/>
      <c r="I32" s="37"/>
      <c r="J32" s="38"/>
      <c r="K32" s="38"/>
      <c r="L32" s="40"/>
      <c r="M32" s="37"/>
    </row>
    <row r="33" spans="8:13">
      <c r="H33" s="37"/>
      <c r="I33" s="37"/>
      <c r="J33" s="38"/>
      <c r="K33" s="38"/>
      <c r="L33" s="40"/>
      <c r="M33" s="37"/>
    </row>
    <row r="34" spans="8:13">
      <c r="H34" s="37"/>
      <c r="I34" s="37"/>
      <c r="J34" s="37"/>
      <c r="K34" s="38"/>
      <c r="L34" s="40"/>
      <c r="M34" s="37"/>
    </row>
    <row r="35" spans="8:13">
      <c r="H35" s="37"/>
      <c r="I35" s="37"/>
      <c r="J35" s="37"/>
      <c r="K35" s="38"/>
      <c r="L35" s="38"/>
      <c r="M35" s="37"/>
    </row>
    <row r="36" spans="8:13">
      <c r="H36" s="37"/>
      <c r="I36" s="37"/>
      <c r="K36" s="37"/>
      <c r="L36" s="37"/>
      <c r="M36" s="37"/>
    </row>
    <row r="37" spans="8:13">
      <c r="H37" s="37"/>
      <c r="I37" s="37"/>
      <c r="K37" s="37"/>
      <c r="L37" s="37"/>
      <c r="M37" s="37"/>
    </row>
  </sheetData>
  <sheetProtection selectLockedCells="1"/>
  <mergeCells count="1">
    <mergeCell ref="B4:G4"/>
  </mergeCells>
  <conditionalFormatting sqref="E15:F16">
    <cfRule type="expression" dxfId="0" priority="2">
      <formula>NOT($A$2)</formula>
    </cfRule>
  </conditionalFormatting>
  <dataValidations count="2">
    <dataValidation type="decimal" operator="greaterThan" allowBlank="1" showInputMessage="1" showErrorMessage="1" sqref="D8 F16" xr:uid="{00000000-0002-0000-0100-000000000000}">
      <formula1>0</formula1>
    </dataValidation>
    <dataValidation type="list" allowBlank="1" showInputMessage="1" showErrorMessage="1" errorTitle="Error" error="PRODUCTO NO ENCONTRADO... VUELVE A SELECCIONAR." sqref="D6" xr:uid="{00000000-0002-0000-0100-000001000000}">
      <formula1>$J$5:$J$17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rArriba">
                <anchor moveWithCells="1" sizeWithCells="1">
                  <from>
                    <xdr:col>2</xdr:col>
                    <xdr:colOff>609600</xdr:colOff>
                    <xdr:row>12</xdr:row>
                    <xdr:rowOff>152400</xdr:rowOff>
                  </from>
                  <to>
                    <xdr:col>3</xdr:col>
                    <xdr:colOff>1104900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Abajo">
                <anchor moveWithCells="1" sizeWithCells="1">
                  <from>
                    <xdr:col>2</xdr:col>
                    <xdr:colOff>600075</xdr:colOff>
                    <xdr:row>15</xdr:row>
                    <xdr:rowOff>28575</xdr:rowOff>
                  </from>
                  <to>
                    <xdr:col>3</xdr:col>
                    <xdr:colOff>1095375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gregar">
                <anchor moveWithCells="1" sizeWithCells="1">
                  <from>
                    <xdr:col>5</xdr:col>
                    <xdr:colOff>1019175</xdr:colOff>
                    <xdr:row>16</xdr:row>
                    <xdr:rowOff>76200</xdr:rowOff>
                  </from>
                  <to>
                    <xdr:col>6</xdr:col>
                    <xdr:colOff>447675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 macro="[0]!NuevoProducto">
                <anchor moveWithCells="1">
                  <from>
                    <xdr:col>5</xdr:col>
                    <xdr:colOff>104775</xdr:colOff>
                    <xdr:row>12</xdr:row>
                    <xdr:rowOff>9525</xdr:rowOff>
                  </from>
                  <to>
                    <xdr:col>6</xdr:col>
                    <xdr:colOff>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D30"/>
  <sheetViews>
    <sheetView showGridLines="0" workbookViewId="0">
      <selection activeCell="E1" sqref="E1"/>
    </sheetView>
  </sheetViews>
  <sheetFormatPr baseColWidth="10" defaultRowHeight="15"/>
  <cols>
    <col min="1" max="1" width="21.28515625" customWidth="1"/>
    <col min="2" max="2" width="18.85546875" customWidth="1"/>
    <col min="3" max="3" width="17.28515625" style="5" customWidth="1"/>
  </cols>
  <sheetData>
    <row r="1" spans="1:4" ht="22.5" thickTop="1" thickBot="1">
      <c r="A1" s="77" t="s">
        <v>17</v>
      </c>
      <c r="B1" s="78"/>
      <c r="C1" s="79"/>
      <c r="D1" s="33">
        <v>3</v>
      </c>
    </row>
    <row r="2" spans="1:4" ht="65.25" customHeight="1" thickTop="1" thickBot="1">
      <c r="A2" s="80" t="s">
        <v>39</v>
      </c>
      <c r="B2" s="81"/>
      <c r="C2" s="7"/>
    </row>
    <row r="3" spans="1:4" ht="15" customHeight="1" thickTop="1" thickBot="1">
      <c r="A3" s="41"/>
      <c r="B3" s="41"/>
      <c r="C3" s="42"/>
    </row>
    <row r="4" spans="1:4" ht="21.75" customHeight="1" thickTop="1" thickBot="1">
      <c r="A4" s="62" t="s">
        <v>33</v>
      </c>
      <c r="B4" s="62" t="s">
        <v>34</v>
      </c>
      <c r="C4" s="63" t="s">
        <v>35</v>
      </c>
    </row>
    <row r="5" spans="1:4" ht="17.25" customHeight="1" thickTop="1" thickBot="1">
      <c r="A5" s="6"/>
      <c r="B5" s="67"/>
      <c r="C5" s="68"/>
    </row>
    <row r="6" spans="1:4" ht="15" customHeight="1" thickTop="1">
      <c r="C6" s="4"/>
    </row>
    <row r="7" spans="1:4" ht="15" customHeight="1">
      <c r="A7" s="64" t="s">
        <v>33</v>
      </c>
      <c r="B7" s="65" t="s">
        <v>34</v>
      </c>
      <c r="C7" s="66" t="s">
        <v>35</v>
      </c>
    </row>
    <row r="8" spans="1:4" ht="15" customHeight="1">
      <c r="A8" s="50" t="s">
        <v>3</v>
      </c>
      <c r="B8" s="18">
        <v>3</v>
      </c>
      <c r="C8" s="82">
        <v>52.5</v>
      </c>
    </row>
    <row r="9" spans="1:4" ht="15" customHeight="1">
      <c r="A9" s="35" t="s">
        <v>8</v>
      </c>
      <c r="B9" s="35">
        <v>1</v>
      </c>
      <c r="C9" s="51">
        <v>12</v>
      </c>
    </row>
    <row r="10" spans="1:4" ht="15" customHeight="1">
      <c r="A10" s="52" t="s">
        <v>8</v>
      </c>
      <c r="B10" s="53">
        <v>1.8</v>
      </c>
      <c r="C10" s="54">
        <v>21.6</v>
      </c>
    </row>
    <row r="11" spans="1:4" ht="15" customHeight="1">
      <c r="A11" s="35" t="s">
        <v>13</v>
      </c>
      <c r="B11" s="35">
        <v>1</v>
      </c>
      <c r="C11" s="69">
        <v>28.5</v>
      </c>
    </row>
    <row r="12" spans="1:4" ht="15" customHeight="1">
      <c r="A12" s="52" t="s">
        <v>5</v>
      </c>
      <c r="B12" s="53">
        <v>3</v>
      </c>
      <c r="C12" s="72">
        <v>33</v>
      </c>
    </row>
    <row r="13" spans="1:4" ht="15" customHeight="1">
      <c r="A13" s="52" t="s">
        <v>36</v>
      </c>
      <c r="B13" s="53">
        <v>2</v>
      </c>
      <c r="C13" s="54">
        <v>37</v>
      </c>
    </row>
    <row r="14" spans="1:4">
      <c r="A14" s="52" t="s">
        <v>38</v>
      </c>
      <c r="B14" s="53">
        <v>2</v>
      </c>
      <c r="C14" s="54">
        <v>56</v>
      </c>
    </row>
    <row r="15" spans="1:4">
      <c r="A15" s="35" t="s">
        <v>4</v>
      </c>
      <c r="B15" s="35">
        <v>2</v>
      </c>
      <c r="C15" s="51">
        <v>56</v>
      </c>
    </row>
    <row r="16" spans="1:4">
      <c r="A16" s="50" t="s">
        <v>38</v>
      </c>
      <c r="B16" s="18">
        <v>2.2999999999999998</v>
      </c>
      <c r="C16" s="34">
        <v>64.399999999999991</v>
      </c>
    </row>
    <row r="17" spans="1:3">
      <c r="A17" s="6" t="s">
        <v>4</v>
      </c>
      <c r="B17" s="6">
        <v>2.2999999999999998</v>
      </c>
      <c r="C17" s="44">
        <v>64.399999999999991</v>
      </c>
    </row>
    <row r="18" spans="1:3">
      <c r="A18" s="18" t="s">
        <v>32</v>
      </c>
      <c r="B18" s="18">
        <v>3</v>
      </c>
      <c r="C18" s="45">
        <v>69</v>
      </c>
    </row>
    <row r="19" spans="1:3">
      <c r="A19" s="50" t="s">
        <v>4</v>
      </c>
      <c r="B19" s="18">
        <v>2.9</v>
      </c>
      <c r="C19" s="34">
        <v>81.2</v>
      </c>
    </row>
    <row r="20" spans="1:3">
      <c r="A20" s="55" t="s">
        <v>13</v>
      </c>
      <c r="B20" s="55">
        <v>2.9</v>
      </c>
      <c r="C20" s="56">
        <v>82.649999999999991</v>
      </c>
    </row>
    <row r="21" spans="1:3">
      <c r="A21" s="8" t="s">
        <v>3</v>
      </c>
      <c r="B21" s="8">
        <v>6</v>
      </c>
      <c r="C21" s="9">
        <v>105</v>
      </c>
    </row>
    <row r="22" spans="1:3">
      <c r="A22" s="55" t="s">
        <v>12</v>
      </c>
      <c r="B22" s="55">
        <v>2.6</v>
      </c>
      <c r="C22" s="56">
        <v>122.2</v>
      </c>
    </row>
    <row r="23" spans="1:3">
      <c r="A23" s="57" t="s">
        <v>12</v>
      </c>
      <c r="B23" s="55">
        <v>4</v>
      </c>
      <c r="C23" s="73">
        <v>188</v>
      </c>
    </row>
    <row r="24" spans="1:3">
      <c r="A24" s="57" t="s">
        <v>9</v>
      </c>
      <c r="B24" s="55">
        <v>10</v>
      </c>
      <c r="C24" s="58">
        <v>400</v>
      </c>
    </row>
    <row r="25" spans="1:3">
      <c r="A25" s="57" t="s">
        <v>8</v>
      </c>
      <c r="B25" s="55">
        <v>34</v>
      </c>
      <c r="C25" s="58">
        <v>408</v>
      </c>
    </row>
    <row r="26" spans="1:3">
      <c r="A26" s="57" t="s">
        <v>9</v>
      </c>
      <c r="B26" s="55">
        <v>11</v>
      </c>
      <c r="C26" s="58">
        <v>440</v>
      </c>
    </row>
    <row r="27" spans="1:3">
      <c r="A27" s="57" t="s">
        <v>12</v>
      </c>
      <c r="B27" s="55">
        <v>9.8000000000000007</v>
      </c>
      <c r="C27" s="58">
        <v>460.6</v>
      </c>
    </row>
    <row r="28" spans="1:3">
      <c r="A28" s="57" t="s">
        <v>40</v>
      </c>
      <c r="B28" s="55">
        <v>14</v>
      </c>
      <c r="C28" s="58">
        <v>467.59999999999997</v>
      </c>
    </row>
    <row r="29" spans="1:3">
      <c r="A29" s="50" t="s">
        <v>4</v>
      </c>
      <c r="B29" s="18">
        <v>34</v>
      </c>
      <c r="C29" s="34">
        <v>952</v>
      </c>
    </row>
    <row r="30" spans="1:3">
      <c r="C30"/>
    </row>
  </sheetData>
  <sortState xmlns:xlrd2="http://schemas.microsoft.com/office/spreadsheetml/2017/richdata2" ref="A8:C1001">
    <sortCondition ref="C7:C1001"/>
  </sortState>
  <mergeCells count="2">
    <mergeCell ref="A1:C1"/>
    <mergeCell ref="A2:B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 macro="[0]!OrdenaProducto">
                <anchor moveWithCells="1">
                  <from>
                    <xdr:col>2</xdr:col>
                    <xdr:colOff>76200</xdr:colOff>
                    <xdr:row>1</xdr:row>
                    <xdr:rowOff>47625</xdr:rowOff>
                  </from>
                  <to>
                    <xdr:col>2</xdr:col>
                    <xdr:colOff>981075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 macro="[0]!OrdenaCantidad">
                <anchor moveWithCells="1">
                  <from>
                    <xdr:col>2</xdr:col>
                    <xdr:colOff>76200</xdr:colOff>
                    <xdr:row>1</xdr:row>
                    <xdr:rowOff>295275</xdr:rowOff>
                  </from>
                  <to>
                    <xdr:col>2</xdr:col>
                    <xdr:colOff>981075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Option Button 4">
              <controlPr defaultSize="0" autoFill="0" autoLine="0" autoPict="0" macro="[0]!OrdenaPrecio">
                <anchor moveWithCells="1">
                  <from>
                    <xdr:col>2</xdr:col>
                    <xdr:colOff>76200</xdr:colOff>
                    <xdr:row>1</xdr:row>
                    <xdr:rowOff>561975</xdr:rowOff>
                  </from>
                  <to>
                    <xdr:col>2</xdr:col>
                    <xdr:colOff>981075</xdr:colOff>
                    <xdr:row>1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ltrar">
                <anchor moveWithCells="1" sizeWithCells="1">
                  <from>
                    <xdr:col>3</xdr:col>
                    <xdr:colOff>95250</xdr:colOff>
                    <xdr:row>3</xdr:row>
                    <xdr:rowOff>19050</xdr:rowOff>
                  </from>
                  <to>
                    <xdr:col>3</xdr:col>
                    <xdr:colOff>714375</xdr:colOff>
                    <xdr:row>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4:G27"/>
  <sheetViews>
    <sheetView showGridLines="0" zoomScaleNormal="100" workbookViewId="0">
      <selection activeCell="J31" sqref="J31"/>
    </sheetView>
  </sheetViews>
  <sheetFormatPr baseColWidth="10" defaultRowHeight="15"/>
  <cols>
    <col min="1" max="16384" width="11.42578125" style="20"/>
  </cols>
  <sheetData>
    <row r="4" spans="2:7" ht="30.75" customHeight="1">
      <c r="B4" s="36" t="s">
        <v>26</v>
      </c>
    </row>
    <row r="5" spans="2:7">
      <c r="B5" s="24">
        <v>1</v>
      </c>
      <c r="C5" s="20" t="s">
        <v>18</v>
      </c>
    </row>
    <row r="6" spans="2:7">
      <c r="B6" s="24">
        <v>2</v>
      </c>
      <c r="C6" s="20" t="s">
        <v>19</v>
      </c>
    </row>
    <row r="7" spans="2:7">
      <c r="B7" s="24">
        <v>3</v>
      </c>
      <c r="C7" s="20" t="s">
        <v>20</v>
      </c>
    </row>
    <row r="8" spans="2:7">
      <c r="B8" s="24">
        <v>4</v>
      </c>
      <c r="C8" s="20" t="s">
        <v>21</v>
      </c>
    </row>
    <row r="9" spans="2:7">
      <c r="B9" s="24"/>
    </row>
    <row r="10" spans="2:7">
      <c r="B10" s="24"/>
    </row>
    <row r="11" spans="2:7">
      <c r="B11" s="36" t="s">
        <v>27</v>
      </c>
    </row>
    <row r="12" spans="2:7">
      <c r="B12" s="24">
        <v>1</v>
      </c>
      <c r="C12" s="20" t="s">
        <v>19</v>
      </c>
    </row>
    <row r="13" spans="2:7">
      <c r="B13" s="24">
        <v>2</v>
      </c>
      <c r="C13" s="29" t="s">
        <v>29</v>
      </c>
      <c r="D13" s="29"/>
      <c r="E13" s="29"/>
      <c r="F13" s="29"/>
      <c r="G13" s="29"/>
    </row>
    <row r="14" spans="2:7">
      <c r="B14" s="24">
        <v>3</v>
      </c>
      <c r="C14" s="29" t="s">
        <v>23</v>
      </c>
      <c r="D14" s="29"/>
      <c r="E14" s="29"/>
      <c r="F14" s="29"/>
      <c r="G14" s="29"/>
    </row>
    <row r="15" spans="2:7">
      <c r="B15" s="24">
        <v>4</v>
      </c>
      <c r="C15" s="29" t="s">
        <v>22</v>
      </c>
      <c r="D15" s="29"/>
      <c r="E15" s="29"/>
      <c r="F15" s="29"/>
      <c r="G15" s="29"/>
    </row>
    <row r="16" spans="2:7">
      <c r="B16" s="24">
        <v>5</v>
      </c>
      <c r="C16" s="29" t="s">
        <v>20</v>
      </c>
      <c r="D16" s="29"/>
      <c r="E16" s="29"/>
      <c r="F16" s="29"/>
      <c r="G16" s="29"/>
    </row>
    <row r="17" spans="2:7">
      <c r="B17" s="24">
        <v>6</v>
      </c>
      <c r="C17" s="20" t="s">
        <v>21</v>
      </c>
    </row>
    <row r="18" spans="2:7">
      <c r="B18" s="24"/>
    </row>
    <row r="19" spans="2:7">
      <c r="B19" s="36" t="s">
        <v>28</v>
      </c>
    </row>
    <row r="20" spans="2:7">
      <c r="B20" s="24">
        <v>1</v>
      </c>
      <c r="C20" s="20" t="s">
        <v>31</v>
      </c>
    </row>
    <row r="21" spans="2:7">
      <c r="B21" s="24">
        <v>2</v>
      </c>
      <c r="C21" s="29" t="s">
        <v>29</v>
      </c>
      <c r="D21" s="29"/>
      <c r="E21" s="29"/>
      <c r="F21" s="29"/>
      <c r="G21" s="29"/>
    </row>
    <row r="22" spans="2:7">
      <c r="B22" s="24">
        <v>3</v>
      </c>
      <c r="C22" s="29" t="s">
        <v>23</v>
      </c>
      <c r="D22" s="29"/>
      <c r="E22" s="29"/>
      <c r="F22" s="29"/>
      <c r="G22" s="29"/>
    </row>
    <row r="23" spans="2:7">
      <c r="B23" s="24">
        <v>4</v>
      </c>
      <c r="C23" s="29" t="s">
        <v>22</v>
      </c>
      <c r="D23" s="29"/>
      <c r="E23" s="29"/>
      <c r="F23" s="29"/>
      <c r="G23" s="29"/>
    </row>
    <row r="24" spans="2:7">
      <c r="B24" s="24">
        <v>5</v>
      </c>
      <c r="C24" s="29" t="s">
        <v>20</v>
      </c>
      <c r="D24" s="29"/>
      <c r="E24" s="29"/>
      <c r="F24" s="29"/>
      <c r="G24" s="29"/>
    </row>
    <row r="25" spans="2:7">
      <c r="B25" s="24">
        <v>6</v>
      </c>
      <c r="C25" s="20" t="s">
        <v>21</v>
      </c>
    </row>
    <row r="27" spans="2:7">
      <c r="C27" s="29"/>
      <c r="D27" s="20" t="s">
        <v>30</v>
      </c>
    </row>
  </sheetData>
  <sheetProtection selectLockedCell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Ejercicio</vt:lpstr>
      <vt:lpstr>Formulario</vt:lpstr>
      <vt:lpstr>Hoja de Datos</vt:lpstr>
      <vt:lpstr>Instrucciones macros</vt:lpstr>
      <vt:lpstr>'Hoja de Datos'!Criterios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</dc:creator>
  <cp:lastModifiedBy>BABAS</cp:lastModifiedBy>
  <dcterms:created xsi:type="dcterms:W3CDTF">2014-11-11T18:57:46Z</dcterms:created>
  <dcterms:modified xsi:type="dcterms:W3CDTF">2023-03-31T17:05:23Z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693055e4-0cbd-4601-b299-e24265cb6d19</vt:lpwstr>
  </property>
</Properties>
</file>